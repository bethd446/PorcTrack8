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TRUIES" sheetId="2" state="visible" r:id="rId4"/>
    <sheet name="VERRATS" sheetId="3" state="visible" r:id="rId5"/>
    <sheet name="PORCELETS BANDES" sheetId="4" state="visible" r:id="rId6"/>
    <sheet name="STOCK ALIMENTS" sheetId="5" state="visible" r:id="rId7"/>
    <sheet name="STOCK VETO" sheetId="6" state="visible" r:id="rId8"/>
    <sheet name="PHARMACIE INVENTAIRE" sheetId="7" state="visible" r:id="rId9"/>
    <sheet name="PROTOCOLES" sheetId="8" state="visible" r:id="rId10"/>
    <sheet name="ALERTES" sheetId="9" state="visible" r:id="rId11"/>
    <sheet name="RECOMMANDATION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<sst xmlns="http://schemas.openxmlformats.org/spreadsheetml/2006/main" count="695" uniqueCount="437">
  <si>
    <t xml:space="preserve">PROJET PORC 800 — FERME A130 — TABLEAU DE BORD</t>
  </si>
  <si>
    <t xml:space="preserve">Dernière mise à jour : 18/04/2026 15:56</t>
  </si>
  <si>
    <t xml:space="preserve">INDICATEUR</t>
  </si>
  <si>
    <t xml:space="preserve">VALEUR</t>
  </si>
  <si>
    <t xml:space="preserve">STATUT</t>
  </si>
  <si>
    <t xml:space="preserve">DÉTAIL</t>
  </si>
  <si>
    <t xml:space="preserve">Truies actives</t>
  </si>
  <si>
    <t xml:space="preserve">OK</t>
  </si>
  <si>
    <t xml:space="preserve">T01-T07, T09-T16, T18-T19</t>
  </si>
  <si>
    <t xml:space="preserve">Verrats actifs</t>
  </si>
  <si>
    <t xml:space="preserve">V01 Bobi + V02 Aligator</t>
  </si>
  <si>
    <t xml:space="preserve">Porcelets total</t>
  </si>
  <si>
    <t xml:space="preserve">110 sevrés + 43 sous mère</t>
  </si>
  <si>
    <t xml:space="preserve">Portées actives</t>
  </si>
  <si>
    <t xml:space="preserve">10 sevrées + 4 sous mère + 1 redistribuée</t>
  </si>
  <si>
    <t xml:space="preserve">En attente saillie</t>
  </si>
  <si>
    <t xml:space="preserve">ACTION</t>
  </si>
  <si>
    <t xml:space="preserve">T01-T03, T06, T07, T09, T11, T13, T15</t>
  </si>
  <si>
    <t xml:space="preserve">T16 Pirouette</t>
  </si>
  <si>
    <t xml:space="preserve">En attente saillie (sevrée récemment)</t>
  </si>
  <si>
    <t xml:space="preserve">Pleines</t>
  </si>
  <si>
    <t xml:space="preserve">T05 (MB ~11/07), T12 (MB ~06/05)</t>
  </si>
  <si>
    <t xml:space="preserve">En maternité</t>
  </si>
  <si>
    <t xml:space="preserve">URGENT</t>
  </si>
  <si>
    <t xml:space="preserve">T10, T14, T18, T19 — T18 sevrage 18/04</t>
  </si>
  <si>
    <t xml:space="preserve">À surveiller</t>
  </si>
  <si>
    <t xml:space="preserve">ALERTE</t>
  </si>
  <si>
    <t xml:space="preserve">T04 Pistachette — refus allaitement</t>
  </si>
  <si>
    <t xml:space="preserve">Stock Aliments</t>
  </si>
  <si>
    <t xml:space="preserve">CRITIQUE</t>
  </si>
  <si>
    <t xml:space="preserve">TOUS les stocks à 0 — RUPTURE TOTALE</t>
  </si>
  <si>
    <t xml:space="preserve">Stock Véto</t>
  </si>
  <si>
    <t xml:space="preserve">3 ruptures</t>
  </si>
  <si>
    <t xml:space="preserve">Fer, Ivermectine, Anti-diarrhéique à 0</t>
  </si>
  <si>
    <t xml:space="preserve">ID</t>
  </si>
  <si>
    <t xml:space="preserve">Nom</t>
  </si>
  <si>
    <t xml:space="preserve">Boucle</t>
  </si>
  <si>
    <t xml:space="preserve">Statut</t>
  </si>
  <si>
    <t xml:space="preserve">Stade</t>
  </si>
  <si>
    <t xml:space="preserve">Nb Portées</t>
  </si>
  <si>
    <t xml:space="preserve">Dernière portée NV</t>
  </si>
  <si>
    <t xml:space="preserve">Date MB prévue</t>
  </si>
  <si>
    <t xml:space="preserve">Ration kg/j</t>
  </si>
  <si>
    <t xml:space="preserve">Notes</t>
  </si>
  <si>
    <t xml:space="preserve">T01</t>
  </si>
  <si>
    <t xml:space="preserve">Monette</t>
  </si>
  <si>
    <t xml:space="preserve">B.22</t>
  </si>
  <si>
    <t xml:space="preserve">Sevrage bande ~10/04</t>
  </si>
  <si>
    <t xml:space="preserve">T02</t>
  </si>
  <si>
    <t xml:space="preserve">Fillaou</t>
  </si>
  <si>
    <t xml:space="preserve">B.38</t>
  </si>
  <si>
    <t xml:space="preserve">T03</t>
  </si>
  <si>
    <t xml:space="preserve">Pénélope</t>
  </si>
  <si>
    <t xml:space="preserve">B.23</t>
  </si>
  <si>
    <t xml:space="preserve">T04</t>
  </si>
  <si>
    <t xml:space="preserve">Pistachette</t>
  </si>
  <si>
    <t xml:space="preserve">B.19</t>
  </si>
  <si>
    <t xml:space="preserve">Refus allaitement — pas encore saillie</t>
  </si>
  <si>
    <t xml:space="preserve">T05</t>
  </si>
  <si>
    <t xml:space="preserve">B.20</t>
  </si>
  <si>
    <t xml:space="preserve">Pleine</t>
  </si>
  <si>
    <t xml:space="preserve">11/07/2026</t>
  </si>
  <si>
    <t xml:space="preserve">Saillie 18/03 — 1ère saillie réussie</t>
  </si>
  <si>
    <t xml:space="preserve">T06</t>
  </si>
  <si>
    <t xml:space="preserve">B.93</t>
  </si>
  <si>
    <t xml:space="preserve">Sevrage bande ~10/04 — 2 morts</t>
  </si>
  <si>
    <t xml:space="preserve">T07</t>
  </si>
  <si>
    <t xml:space="preserve">Choupette</t>
  </si>
  <si>
    <t xml:space="preserve">B.21</t>
  </si>
  <si>
    <t xml:space="preserve">Sevrée 19/03</t>
  </si>
  <si>
    <t xml:space="preserve">T09</t>
  </si>
  <si>
    <t xml:space="preserve">Zapata</t>
  </si>
  <si>
    <t xml:space="preserve">B.31</t>
  </si>
  <si>
    <t xml:space="preserve">Sevrage bande ~10/04 — 1 écrasement</t>
  </si>
  <si>
    <t xml:space="preserve">T10</t>
  </si>
  <si>
    <t xml:space="preserve">B.37</t>
  </si>
  <si>
    <t xml:space="preserve">MB 23/03 — 5 porcelets — pas sevrés, trop petits</t>
  </si>
  <si>
    <t xml:space="preserve">T11</t>
  </si>
  <si>
    <t xml:space="preserve">Ficelle</t>
  </si>
  <si>
    <t xml:space="preserve">B.12</t>
  </si>
  <si>
    <t xml:space="preserve">Sevrée 19/03 — MB 26/02, 12 NV</t>
  </si>
  <si>
    <t xml:space="preserve">T12</t>
  </si>
  <si>
    <t xml:space="preserve">B.10</t>
  </si>
  <si>
    <t xml:space="preserve">06/05/2026</t>
  </si>
  <si>
    <t xml:space="preserve">Saillie 11/01 — jamais mis bas — MB prévue ~06/05</t>
  </si>
  <si>
    <t xml:space="preserve">T13</t>
  </si>
  <si>
    <t xml:space="preserve">B.29</t>
  </si>
  <si>
    <t xml:space="preserve">Anciennement B.10 — MB 19-20/03, 6 NV, sevrée</t>
  </si>
  <si>
    <t xml:space="preserve">T14</t>
  </si>
  <si>
    <t xml:space="preserve">B.24</t>
  </si>
  <si>
    <t xml:space="preserve">01/04/2026</t>
  </si>
  <si>
    <t xml:space="preserve">MB 01/04 — 13 porcelets</t>
  </si>
  <si>
    <t xml:space="preserve">T15</t>
  </si>
  <si>
    <t xml:space="preserve">Anillette</t>
  </si>
  <si>
    <t xml:space="preserve">B.39</t>
  </si>
  <si>
    <t xml:space="preserve">T16</t>
  </si>
  <si>
    <t xml:space="preserve">Pirouette</t>
  </si>
  <si>
    <t xml:space="preserve">B.26</t>
  </si>
  <si>
    <t xml:space="preserve">En attente saillie (sevrée)</t>
  </si>
  <si>
    <t xml:space="preserve">MB 07/03 — 14 NV — sevrée ~10/04</t>
  </si>
  <si>
    <t xml:space="preserve">T18</t>
  </si>
  <si>
    <t xml:space="preserve">B.85</t>
  </si>
  <si>
    <t xml:space="preserve">28/03/2026</t>
  </si>
  <si>
    <t xml:space="preserve">MB 28/03 — 12 porcelets — SEVRAGE 18/04 URGENT</t>
  </si>
  <si>
    <t xml:space="preserve">T19</t>
  </si>
  <si>
    <t xml:space="preserve">B.76</t>
  </si>
  <si>
    <t xml:space="preserve">TOTAL</t>
  </si>
  <si>
    <t xml:space="preserve">Origine</t>
  </si>
  <si>
    <t xml:space="preserve">Alimentation</t>
  </si>
  <si>
    <t xml:space="preserve">V01</t>
  </si>
  <si>
    <t xml:space="preserve">Bobi</t>
  </si>
  <si>
    <t xml:space="preserve">Actif</t>
  </si>
  <si>
    <t xml:space="preserve">Thomasset</t>
  </si>
  <si>
    <t xml:space="preserve">Gestation (KPC)</t>
  </si>
  <si>
    <t xml:space="preserve">Verrat principal</t>
  </si>
  <si>
    <t xml:space="preserve">V02</t>
  </si>
  <si>
    <t xml:space="preserve">Aligator</t>
  </si>
  <si>
    <t xml:space="preserve">Azaguié</t>
  </si>
  <si>
    <t xml:space="preserve">Verrat secondaire</t>
  </si>
  <si>
    <t xml:space="preserve">ID Portée</t>
  </si>
  <si>
    <t xml:space="preserve">Truie</t>
  </si>
  <si>
    <t xml:space="preserve">Boucle mère</t>
  </si>
  <si>
    <t xml:space="preserve">Date MB</t>
  </si>
  <si>
    <t xml:space="preserve">NV</t>
  </si>
  <si>
    <t xml:space="preserve">Morts</t>
  </si>
  <si>
    <t xml:space="preserve">Vivants</t>
  </si>
  <si>
    <t xml:space="preserve">Sevrage prévu</t>
  </si>
  <si>
    <t xml:space="preserve">Sevrage réel</t>
  </si>
  <si>
    <t xml:space="preserve">26-T7-01</t>
  </si>
  <si>
    <t xml:space="preserve">26/02/2026</t>
  </si>
  <si>
    <t xml:space="preserve">19/03/2026</t>
  </si>
  <si>
    <t xml:space="preserve">Sevrés</t>
  </si>
  <si>
    <t xml:space="preserve">Bande 1</t>
  </si>
  <si>
    <t xml:space="preserve">26-T11-01</t>
  </si>
  <si>
    <t xml:space="preserve">Ficelle — sevrés 19/03</t>
  </si>
  <si>
    <t xml:space="preserve">26-T1-01</t>
  </si>
  <si>
    <t xml:space="preserve">03/03/2026</t>
  </si>
  <si>
    <t xml:space="preserve">24/03/2026</t>
  </si>
  <si>
    <t xml:space="preserve">10/04/2026</t>
  </si>
  <si>
    <t xml:space="preserve">Sevré 10/04</t>
  </si>
  <si>
    <t xml:space="preserve">26-T3-01</t>
  </si>
  <si>
    <t xml:space="preserve">06/03/2026</t>
  </si>
  <si>
    <t xml:space="preserve">27/03/2026</t>
  </si>
  <si>
    <t xml:space="preserve">26-T2-01</t>
  </si>
  <si>
    <t xml:space="preserve">07/03/2026</t>
  </si>
  <si>
    <t xml:space="preserve">26-T14-01</t>
  </si>
  <si>
    <t xml:space="preserve">T15 Anillette — sevrés 10/04</t>
  </si>
  <si>
    <t xml:space="preserve">26-T8-01</t>
  </si>
  <si>
    <t xml:space="preserve">1 écrasement</t>
  </si>
  <si>
    <t xml:space="preserve">26-T15-01</t>
  </si>
  <si>
    <t xml:space="preserve">T16 Pirouette — 14 NV</t>
  </si>
  <si>
    <t xml:space="preserve">26-T6-01</t>
  </si>
  <si>
    <t xml:space="preserve">14/03/2026</t>
  </si>
  <si>
    <t xml:space="preserve">04/04/2026</t>
  </si>
  <si>
    <t xml:space="preserve">2 morts</t>
  </si>
  <si>
    <t xml:space="preserve">26-T13-01</t>
  </si>
  <si>
    <t xml:space="preserve">09/04/2026</t>
  </si>
  <si>
    <t xml:space="preserve">T13 — 6 NV</t>
  </si>
  <si>
    <t xml:space="preserve">26-T10-01</t>
  </si>
  <si>
    <t xml:space="preserve">23/03/2026</t>
  </si>
  <si>
    <t xml:space="preserve">13/04/2026</t>
  </si>
  <si>
    <t xml:space="preserve">Sous mère</t>
  </si>
  <si>
    <t xml:space="preserve">PAS sevrés — trop petits</t>
  </si>
  <si>
    <t xml:space="preserve">26-T18-01</t>
  </si>
  <si>
    <t xml:space="preserve">18/04/2026</t>
  </si>
  <si>
    <t xml:space="preserve">SEVRAGE AUJOURD'HUI 18/04</t>
  </si>
  <si>
    <t xml:space="preserve">26-T14-02</t>
  </si>
  <si>
    <t xml:space="preserve">22/04/2026</t>
  </si>
  <si>
    <t xml:space="preserve">MB 01/04</t>
  </si>
  <si>
    <t xml:space="preserve">26-T19-01</t>
  </si>
  <si>
    <t xml:space="preserve">TOTAL 15 portées</t>
  </si>
  <si>
    <t xml:space="preserve">Libellé</t>
  </si>
  <si>
    <t xml:space="preserve">Unité</t>
  </si>
  <si>
    <t xml:space="preserve">Stock actuel</t>
  </si>
  <si>
    <t xml:space="preserve">Seuil alerte</t>
  </si>
  <si>
    <t xml:space="preserve">ALIM-MAIS</t>
  </si>
  <si>
    <t xml:space="preserve">Maïs grain</t>
  </si>
  <si>
    <t xml:space="preserve">kg</t>
  </si>
  <si>
    <t xml:space="preserve">RUPTURE</t>
  </si>
  <si>
    <t xml:space="preserve">CRITIQUE — à commander</t>
  </si>
  <si>
    <t xml:space="preserve">ALIM-TRUIE-GEST</t>
  </si>
  <si>
    <t xml:space="preserve">Aliment truie gestation</t>
  </si>
  <si>
    <t xml:space="preserve">CRITIQUE — truies pleines en danger</t>
  </si>
  <si>
    <t xml:space="preserve">ALIM-TRUIE-LACT</t>
  </si>
  <si>
    <t xml:space="preserve">Aliment truie lactation</t>
  </si>
  <si>
    <t xml:space="preserve">CRITIQUE — allaitantes sans aliment</t>
  </si>
  <si>
    <t xml:space="preserve">ALIM-PORCELET</t>
  </si>
  <si>
    <t xml:space="preserve">Aliment porcelet démarrage</t>
  </si>
  <si>
    <t xml:space="preserve">CRITIQUE — sevrés sans aliment</t>
  </si>
  <si>
    <t xml:space="preserve">ALIM-ENGR</t>
  </si>
  <si>
    <t xml:space="preserve">Aliment engraissement</t>
  </si>
  <si>
    <t xml:space="preserve">Non urgent — pas d'engraissement en cours</t>
  </si>
  <si>
    <t xml:space="preserve">Produit</t>
  </si>
  <si>
    <t xml:space="preserve">Type</t>
  </si>
  <si>
    <t xml:space="preserve">Usage</t>
  </si>
  <si>
    <t xml:space="preserve">Stock</t>
  </si>
  <si>
    <t xml:space="preserve">Stock min</t>
  </si>
  <si>
    <t xml:space="preserve">SANTE-0001</t>
  </si>
  <si>
    <t xml:space="preserve">Fer injectable</t>
  </si>
  <si>
    <t xml:space="preserve">Complément</t>
  </si>
  <si>
    <t xml:space="preserve">Porcelets J3</t>
  </si>
  <si>
    <t xml:space="preserve">doses</t>
  </si>
  <si>
    <t xml:space="preserve">CRITIQUE pour mises bas</t>
  </si>
  <si>
    <t xml:space="preserve">SANTE-0002</t>
  </si>
  <si>
    <t xml:space="preserve">Oxytetracycline</t>
  </si>
  <si>
    <t xml:space="preserve">Antibiotique</t>
  </si>
  <si>
    <t xml:space="preserve">Diarrhée</t>
  </si>
  <si>
    <t xml:space="preserve">flacons</t>
  </si>
  <si>
    <t xml:space="preserve">BAS</t>
  </si>
  <si>
    <t xml:space="preserve">OXYTETRA 20% — 3 flacons</t>
  </si>
  <si>
    <t xml:space="preserve">SANTE-0003</t>
  </si>
  <si>
    <t xml:space="preserve">Ivermectine</t>
  </si>
  <si>
    <t xml:space="preserve">Antiparasitaire</t>
  </si>
  <si>
    <t xml:space="preserve">Déparasitage</t>
  </si>
  <si>
    <t xml:space="preserve">ml</t>
  </si>
  <si>
    <t xml:space="preserve">Déparasitage trimestriel compromis</t>
  </si>
  <si>
    <t xml:space="preserve">SANTE-0004</t>
  </si>
  <si>
    <t xml:space="preserve">Vitamines AD3E</t>
  </si>
  <si>
    <t xml:space="preserve">Truies gestantes</t>
  </si>
  <si>
    <t xml:space="preserve">VETOVIT + CERTIVIT</t>
  </si>
  <si>
    <t xml:space="preserve">SANTE-0005</t>
  </si>
  <si>
    <t xml:space="preserve">Désinfectant</t>
  </si>
  <si>
    <t xml:space="preserve">Biosécurité</t>
  </si>
  <si>
    <t xml:space="preserve">Pédiluves</t>
  </si>
  <si>
    <t xml:space="preserve">bidons</t>
  </si>
  <si>
    <t xml:space="preserve">VULKAN R 5L — 1 bidon restant</t>
  </si>
  <si>
    <t xml:space="preserve">SANTE-0006</t>
  </si>
  <si>
    <t xml:space="preserve">Calcium injectable</t>
  </si>
  <si>
    <t xml:space="preserve">Truies allaitantes</t>
  </si>
  <si>
    <t xml:space="preserve">UCAPHOSCAL 5L</t>
  </si>
  <si>
    <t xml:space="preserve">SANTE-0007</t>
  </si>
  <si>
    <t xml:space="preserve">Anti-diarrhéique</t>
  </si>
  <si>
    <t xml:space="preserve">Traitement</t>
  </si>
  <si>
    <t xml:space="preserve">Porcelets</t>
  </si>
  <si>
    <t xml:space="preserve">Stock 0 — porcelets à risque</t>
  </si>
  <si>
    <t xml:space="preserve">No</t>
  </si>
  <si>
    <t xml:space="preserve">Famille</t>
  </si>
  <si>
    <t xml:space="preserve">Usage principal</t>
  </si>
  <si>
    <t xml:space="preserve">Coût unit (FCFA)</t>
  </si>
  <si>
    <t xml:space="preserve">Valeur stock (FCFA)</t>
  </si>
  <si>
    <t xml:space="preserve">Oxytocine</t>
  </si>
  <si>
    <t xml:space="preserve">Injectable</t>
  </si>
  <si>
    <t xml:space="preserve">fl</t>
  </si>
  <si>
    <t xml:space="preserve">Mise bas / Obstétrique</t>
  </si>
  <si>
    <t xml:space="preserve">FERRO 100 PANTE 100ML</t>
  </si>
  <si>
    <t xml:space="preserve">Fer / Anémie porcelets</t>
  </si>
  <si>
    <t xml:space="preserve">VETOVIT PLUS 100ML</t>
  </si>
  <si>
    <t xml:space="preserve">Vitamines / Stress</t>
  </si>
  <si>
    <t xml:space="preserve">PENI STREPTO 200/25 100ML</t>
  </si>
  <si>
    <t xml:space="preserve">Antibiotique injectable</t>
  </si>
  <si>
    <t xml:space="preserve">OXYTETRA 20% LA 100ML</t>
  </si>
  <si>
    <t xml:space="preserve">SEPTOTRYL 24% 100ML</t>
  </si>
  <si>
    <t xml:space="preserve">Bétadine</t>
  </si>
  <si>
    <t xml:space="preserve">Antiseptique</t>
  </si>
  <si>
    <t xml:space="preserve">Désinfection locale</t>
  </si>
  <si>
    <t xml:space="preserve">ABATOUT Mouches</t>
  </si>
  <si>
    <t xml:space="preserve">Insecticide</t>
  </si>
  <si>
    <t xml:space="preserve">u</t>
  </si>
  <si>
    <t xml:space="preserve">Lutte mouches</t>
  </si>
  <si>
    <t xml:space="preserve">TYLOCAR</t>
  </si>
  <si>
    <t xml:space="preserve">À valider</t>
  </si>
  <si>
    <t xml:space="preserve">boîte</t>
  </si>
  <si>
    <t xml:space="preserve">Usage à confirmer</t>
  </si>
  <si>
    <t xml:space="preserve">Marbox</t>
  </si>
  <si>
    <t xml:space="preserve">Pandex injectable</t>
  </si>
  <si>
    <t xml:space="preserve">À identifier</t>
  </si>
  <si>
    <t xml:space="preserve">BIMESTIMUL 1kg</t>
  </si>
  <si>
    <t xml:space="preserve">Compl. nutritionnel</t>
  </si>
  <si>
    <t xml:space="preserve">u 1kg</t>
  </si>
  <si>
    <t xml:space="preserve">Digestion / Stimulant</t>
  </si>
  <si>
    <t xml:space="preserve">BIMESTIMUL 500g</t>
  </si>
  <si>
    <t xml:space="preserve">u 500g</t>
  </si>
  <si>
    <t xml:space="preserve">CERTISELEN-E 5L</t>
  </si>
  <si>
    <t xml:space="preserve">Vit E + Sélénium</t>
  </si>
  <si>
    <t xml:space="preserve">CERTIVIT AD3E 5L</t>
  </si>
  <si>
    <t xml:space="preserve">Vitamines</t>
  </si>
  <si>
    <t xml:space="preserve">bidon</t>
  </si>
  <si>
    <t xml:space="preserve">Vitamines A D3 E</t>
  </si>
  <si>
    <t xml:space="preserve">SORBITONIC 5L</t>
  </si>
  <si>
    <t xml:space="preserve">Tonique</t>
  </si>
  <si>
    <t xml:space="preserve">Appétit / Hépatique</t>
  </si>
  <si>
    <t xml:space="preserve">Minéraux</t>
  </si>
  <si>
    <t xml:space="preserve">Calcium / Phosphore</t>
  </si>
  <si>
    <t xml:space="preserve">ACTISELEN 1L</t>
  </si>
  <si>
    <t xml:space="preserve">Sélénium organique</t>
  </si>
  <si>
    <t xml:space="preserve">Complexe 24 Bonne 1L</t>
  </si>
  <si>
    <t xml:space="preserve">Solution buvable</t>
  </si>
  <si>
    <t xml:space="preserve">Appui général</t>
  </si>
  <si>
    <t xml:space="preserve">VITAPHYT TARI 5L</t>
  </si>
  <si>
    <t xml:space="preserve">Soutien général</t>
  </si>
  <si>
    <t xml:space="preserve">VITAMINE AD3E 5L</t>
  </si>
  <si>
    <t xml:space="preserve">Ponder</t>
  </si>
  <si>
    <t xml:space="preserve">NÉOBION (lait poudre)</t>
  </si>
  <si>
    <t xml:space="preserve">Lait poudre porcelets</t>
  </si>
  <si>
    <t xml:space="preserve">CERVICYCLE</t>
  </si>
  <si>
    <t xml:space="preserve">Hormonal</t>
  </si>
  <si>
    <t xml:space="preserve">Reproduction / Synchro</t>
  </si>
  <si>
    <t xml:space="preserve">VULKAN R 5L</t>
  </si>
  <si>
    <t xml:space="preserve">Désinfection locaux</t>
  </si>
  <si>
    <t xml:space="preserve">FERKOFER seau 5L</t>
  </si>
  <si>
    <t xml:space="preserve">Fer oral</t>
  </si>
  <si>
    <t xml:space="preserve">seau</t>
  </si>
  <si>
    <t xml:space="preserve">Fer complément porcelets</t>
  </si>
  <si>
    <t xml:space="preserve">⚠ ALERTE SÉLÉNIUM</t>
  </si>
  <si>
    <t xml:space="preserve">3 produits contiennent du sélénium : Certiselen E, ACTISELEN, Complexe 24 Bonne → NE JAMAIS COMBINER — espacer min. 15 jours</t>
  </si>
  <si>
    <t xml:space="preserve">PROTOCOLE PROPHYLACTIQUE</t>
  </si>
  <si>
    <t xml:space="preserve">Action</t>
  </si>
  <si>
    <t xml:space="preserve">Cible</t>
  </si>
  <si>
    <t xml:space="preserve">Dose</t>
  </si>
  <si>
    <t xml:space="preserve">Fréquence</t>
  </si>
  <si>
    <t xml:space="preserve">Période</t>
  </si>
  <si>
    <t xml:space="preserve">Responsable</t>
  </si>
  <si>
    <t xml:space="preserve">Vaccination PPC</t>
  </si>
  <si>
    <t xml:space="preserve">Pestivac</t>
  </si>
  <si>
    <t xml:space="preserve">Tous porcs</t>
  </si>
  <si>
    <t xml:space="preserve">2ml IM</t>
  </si>
  <si>
    <t xml:space="preserve">1x/an</t>
  </si>
  <si>
    <t xml:space="preserve">Campagne MIRAH</t>
  </si>
  <si>
    <t xml:space="preserve">Vétérinaire</t>
  </si>
  <si>
    <t xml:space="preserve">Vaccination Pasteurellose</t>
  </si>
  <si>
    <t xml:space="preserve">Pasteurella</t>
  </si>
  <si>
    <t xml:space="preserve">Porcelets 6-8 sem</t>
  </si>
  <si>
    <t xml:space="preserve">2 injections J0+J21</t>
  </si>
  <si>
    <t xml:space="preserve">Post-sevrage</t>
  </si>
  <si>
    <t xml:space="preserve">Technicien</t>
  </si>
  <si>
    <t xml:space="preserve">Déparasitage interne</t>
  </si>
  <si>
    <t xml:space="preserve">Tous</t>
  </si>
  <si>
    <t xml:space="preserve">1ml/33kg SC</t>
  </si>
  <si>
    <t xml:space="preserve">Tous les 3 mois</t>
  </si>
  <si>
    <t xml:space="preserve">Trimestriel</t>
  </si>
  <si>
    <t xml:space="preserve">Déparasitage externe</t>
  </si>
  <si>
    <t xml:space="preserve">Idem</t>
  </si>
  <si>
    <t xml:space="preserve">Fer dextran</t>
  </si>
  <si>
    <t xml:space="preserve">1-2ml IM</t>
  </si>
  <si>
    <t xml:space="preserve">1x naissance</t>
  </si>
  <si>
    <t xml:space="preserve">3 jours</t>
  </si>
  <si>
    <t xml:space="preserve">Vitamine AD3E</t>
  </si>
  <si>
    <t xml:space="preserve">AD3E injectable</t>
  </si>
  <si>
    <t xml:space="preserve">5ml IM</t>
  </si>
  <si>
    <t xml:space="preserve">1x/mois dernier tiers</t>
  </si>
  <si>
    <t xml:space="preserve">Gestation</t>
  </si>
  <si>
    <t xml:space="preserve">Calcium</t>
  </si>
  <si>
    <t xml:space="preserve">Ca injectable</t>
  </si>
  <si>
    <t xml:space="preserve">20ml SC</t>
  </si>
  <si>
    <t xml:space="preserve">Mise bas + 24h</t>
  </si>
  <si>
    <t xml:space="preserve">Mise bas</t>
  </si>
  <si>
    <t xml:space="preserve">Désinfection</t>
  </si>
  <si>
    <t xml:space="preserve">Crésyl/Virkon</t>
  </si>
  <si>
    <t xml:space="preserve">Bâtiments</t>
  </si>
  <si>
    <t xml:space="preserve">3-5%</t>
  </si>
  <si>
    <t xml:space="preserve">Vide sanitaire</t>
  </si>
  <si>
    <t xml:space="preserve">Entre bandes</t>
  </si>
  <si>
    <t xml:space="preserve">Agent</t>
  </si>
  <si>
    <t xml:space="preserve">Anti-mycotoxines</t>
  </si>
  <si>
    <t xml:space="preserve">Mycofix</t>
  </si>
  <si>
    <t xml:space="preserve">Aliment</t>
  </si>
  <si>
    <t xml:space="preserve">1-2 kg/t</t>
  </si>
  <si>
    <t xml:space="preserve">Continu</t>
  </si>
  <si>
    <t xml:space="preserve">Permanent</t>
  </si>
  <si>
    <t xml:space="preserve">Formulateur</t>
  </si>
  <si>
    <t xml:space="preserve">PROTOCOLE BIOSÉCURITÉ — MIRAH/PPA</t>
  </si>
  <si>
    <t xml:space="preserve">Mesure</t>
  </si>
  <si>
    <t xml:space="preserve">Détail</t>
  </si>
  <si>
    <t xml:space="preserve">Quotidien</t>
  </si>
  <si>
    <t xml:space="preserve">Entrées/sorties de chaque bâtiment</t>
  </si>
  <si>
    <t xml:space="preserve">Sas sanitaire</t>
  </si>
  <si>
    <t xml:space="preserve">Changement tenue + lavage mains</t>
  </si>
  <si>
    <t xml:space="preserve">Quarantaine</t>
  </si>
  <si>
    <t xml:space="preserve">30 jours</t>
  </si>
  <si>
    <t xml:space="preserve">Tout nouvel animal</t>
  </si>
  <si>
    <t xml:space="preserve">Registre visiteurs</t>
  </si>
  <si>
    <t xml:space="preserve">Nom, date, motif, désinfection</t>
  </si>
  <si>
    <t xml:space="preserve">7 jours min</t>
  </si>
  <si>
    <t xml:space="preserve">Entre chaque bande</t>
  </si>
  <si>
    <t xml:space="preserve">Lutte tiques</t>
  </si>
  <si>
    <t xml:space="preserve">Mensuel</t>
  </si>
  <si>
    <t xml:space="preserve">Ornithodoros — vecteur PPA</t>
  </si>
  <si>
    <t xml:space="preserve">Priorité</t>
  </si>
  <si>
    <t xml:space="preserve">Catégorie</t>
  </si>
  <si>
    <t xml:space="preserve">Sujet</t>
  </si>
  <si>
    <t xml:space="preserve">Alerte</t>
  </si>
  <si>
    <t xml:space="preserve">Action requise</t>
  </si>
  <si>
    <t xml:space="preserve">Date</t>
  </si>
  <si>
    <t xml:space="preserve">STOCK</t>
  </si>
  <si>
    <t xml:space="preserve">Tous aliments</t>
  </si>
  <si>
    <t xml:space="preserve">RUPTURE TOTALE — 5/5 stocks à 0</t>
  </si>
  <si>
    <t xml:space="preserve">Commander d'urgence</t>
  </si>
  <si>
    <t xml:space="preserve">RUPTURE — porcelets J3 sans fer</t>
  </si>
  <si>
    <t xml:space="preserve">RUPTURE — déparasitage impossible</t>
  </si>
  <si>
    <t xml:space="preserve">RUPTURE — porcelets à risque</t>
  </si>
  <si>
    <t xml:space="preserve">HAUTE</t>
  </si>
  <si>
    <t xml:space="preserve">BANDES</t>
  </si>
  <si>
    <t xml:space="preserve">T18 (B.85)</t>
  </si>
  <si>
    <t xml:space="preserve">Sevrage prévu AUJOURD'HUI 18/04 — 12 porcelets J21</t>
  </si>
  <si>
    <t xml:space="preserve">Sevrer ou reporter</t>
  </si>
  <si>
    <t xml:space="preserve">REPRO</t>
  </si>
  <si>
    <t xml:space="preserve">T10 (B.37)</t>
  </si>
  <si>
    <t xml:space="preserve">5 porcelets non sevrés — trop petits/faibles</t>
  </si>
  <si>
    <t xml:space="preserve">Surveiller, décider sevrage</t>
  </si>
  <si>
    <t xml:space="preserve">T04 (B.19)</t>
  </si>
  <si>
    <t xml:space="preserve">Refus allaitement — décision saillie à prendre</t>
  </si>
  <si>
    <t xml:space="preserve">Évaluer, décider</t>
  </si>
  <si>
    <t xml:space="preserve">NORMALE</t>
  </si>
  <si>
    <t xml:space="preserve">9 truies</t>
  </si>
  <si>
    <t xml:space="preserve">En attente saillie — surveiller chaleurs J+5 post-sevrage</t>
  </si>
  <si>
    <t xml:space="preserve">Planifier saillies</t>
  </si>
  <si>
    <t xml:space="preserve">T12 (B.10)</t>
  </si>
  <si>
    <t xml:space="preserve">Pleine — MB prévue ~06/05 — jamais mis bas avant</t>
  </si>
  <si>
    <t xml:space="preserve">Surveiller de près</t>
  </si>
  <si>
    <t xml:space="preserve">INFO</t>
  </si>
  <si>
    <t xml:space="preserve">Stock BAS — 1 bidon restant</t>
  </si>
  <si>
    <t xml:space="preserve">Prévoir commande</t>
  </si>
  <si>
    <t xml:space="preserve">AMÉLIORATIONS ANTI-DÉCALAGE ENTRE FEUILLES</t>
  </si>
  <si>
    <t xml:space="preserve">Problème identifié</t>
  </si>
  <si>
    <t xml:space="preserve">Amélioration proposée</t>
  </si>
  <si>
    <t xml:space="preserve">CHEPTEL_GENERAL gelé au 12/04 — données obsolètes en 6 jours</t>
  </si>
  <si>
    <t xml:space="preserve">SUPPRIMER cet onglet — les données sont déjà dans TRUIES_REPRODUCTION et PORCELETS_BANDES. Une vue consolidée doit être calculée dynamiquement, pas copiée manuellement.</t>
  </si>
  <si>
    <t xml:space="preserve">STOCK_VETO mélange stock + protocoles + pharmacie + traitements dans le même onglet (85 lignes)</t>
  </si>
  <si>
    <t xml:space="preserve">SÉPARER en 3 onglets : STOCK_VETO (7 items), PHARMACIE_INVENTAIRE (26 items), PROTOCOLES. Le registre traitements va dans JOURNAL_SANTE.</t>
  </si>
  <si>
    <t xml:space="preserve">Colonnes différentes entre feuilles : 'Alimentation' stocke en réalité le 'Stade', 'Date MB prevue' sert pour 2 usages différents</t>
  </si>
  <si>
    <t xml:space="preserve">RENOMMER les colonnes pour refléter leur vrai usage. Séparer 'Date dernière MB' et 'Date MB prévue' en 2 colonnes distinctes.</t>
  </si>
  <si>
    <t xml:space="preserve">MOYENNE</t>
  </si>
  <si>
    <t xml:space="preserve">ID de portées incohérents (26-T14-01 est en fait T15, 26-T8-01 est T09)</t>
  </si>
  <si>
    <t xml:space="preserve">RÉGÉNÉRER les IDs de portées avec le vrai ID truie : 26-T15-01, 26-T09-01, etc. Ou utiliser un ID auto-incrémenté.</t>
  </si>
  <si>
    <t xml:space="preserve">Pas de validation des statuts — n'importe quelle chaîne est acceptée</t>
  </si>
  <si>
    <t xml:space="preserve">Ajouter une VALIDATION DE DONNÉES dans Google Sheets : liste déroulante pour Statut (Pleine, En maternité, En attente saillie, À surveiller, Vide, Réforme)</t>
  </si>
  <si>
    <t xml:space="preserve">Aucune date de péremption renseignée dans la pharmacie</t>
  </si>
  <si>
    <t xml:space="preserve">Ajouter une colonne DLC obligatoire à PHARMACIE_INVENTAIRE + alerte automatique si DLC &lt; 30 jours</t>
  </si>
  <si>
    <t xml:space="preserve">Ligne TOTAL dans PORCELETS_BANDES mélangée avec les données</t>
  </si>
  <si>
    <t xml:space="preserve">DÉPLACER le TOTAL dans un onglet RECAP séparé ou utiliser des formules Google Sheets (SOMME.SI) plutôt qu'une ligne en dur</t>
  </si>
  <si>
    <t xml:space="preserve">BASSE</t>
  </si>
  <si>
    <t xml:space="preserve">Pas de lien automatique entre sevrage d'une bande et changement de statut de la truie</t>
  </si>
  <si>
    <t xml:space="preserve">Implémenter dans le GAS : quand PORCELETS_BANDES passe à 'Sevrés', mettre automatiquement la truie mère à 'En attente saillie'</t>
  </si>
  <si>
    <t xml:space="preserve">Doublons dans STOCK_VETO : les lignes 75-84 sont des traitements dupliqués (même événements avec des formats différents)</t>
  </si>
  <si>
    <t xml:space="preserve">NETTOYER les doublons et centraliser tous les traitements dans JOURNAL_SANTE uniquement</t>
  </si>
  <si>
    <t xml:space="preserve">Budget mensuel véto (35 000 FCFA) noyé dans STOCK_VETO ligne 34</t>
  </si>
  <si>
    <t xml:space="preserve">CRÉER un onglet PARAMETRES dédié pour les constantes : budget véto, seuils d'alerte, constantes bio (gestation 115j, lactation 21j)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</si>
</sst>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64E3B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Consolas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4"/>
      <color rgb="FF064E3B"/>
      <name val="Arial"/>
      <family val="0"/>
      <charset val="1"/>
    </font>
    <font>
      <b val="true"/>
      <sz val="14"/>
      <color rgb="FFDC262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64E3B"/>
        <bgColor rgb="FF065F46"/>
      </patternFill>
    </fill>
    <fill>
      <patternFill patternType="solid">
        <fgColor rgb="FFD1FAE5"/>
        <bgColor rgb="FFDBEAFE"/>
      </patternFill>
    </fill>
    <fill>
      <patternFill patternType="solid">
        <fgColor rgb="FFF8FAFC"/>
        <bgColor rgb="FFFFFFFF"/>
      </patternFill>
    </fill>
    <fill>
      <patternFill patternType="solid">
        <fgColor rgb="FF2563EB"/>
        <bgColor rgb="FF0066CC"/>
      </patternFill>
    </fill>
    <fill>
      <patternFill patternType="solid">
        <fgColor rgb="FFEA580C"/>
        <bgColor rgb="FFDC2626"/>
      </patternFill>
    </fill>
    <fill>
      <patternFill patternType="solid">
        <fgColor rgb="FFFEF3C7"/>
        <bgColor rgb="FFFEE2E2"/>
      </patternFill>
    </fill>
    <fill>
      <patternFill patternType="solid">
        <fgColor rgb="FFDC2626"/>
        <bgColor rgb="FFEA580C"/>
      </patternFill>
    </fill>
    <fill>
      <patternFill patternType="solid">
        <fgColor rgb="FFEDE9FE"/>
        <bgColor rgb="FFE2E8F0"/>
      </patternFill>
    </fill>
    <fill>
      <patternFill patternType="solid">
        <fgColor rgb="FFDBEAFE"/>
        <bgColor rgb="FFE2E8F0"/>
      </patternFill>
    </fill>
    <fill>
      <patternFill patternType="solid">
        <fgColor rgb="FFFEE2E2"/>
        <bgColor rgb="FFEDE9FE"/>
      </patternFill>
    </fill>
    <fill>
      <patternFill patternType="solid">
        <fgColor rgb="FFFED7AA"/>
        <bgColor rgb="FFFEE2E2"/>
      </patternFill>
    </fill>
    <fill>
      <patternFill patternType="solid">
        <fgColor rgb="FFE2E8F0"/>
        <bgColor rgb="FFDBE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EDE9FE"/>
      <rgbColor rgb="FF808080"/>
      <rgbColor rgb="FF9999FF"/>
      <rgbColor rgb="FF7C3AED"/>
      <rgbColor rgb="FFFEF3C7"/>
      <rgbColor rgb="FFDBEAFE"/>
      <rgbColor rgb="FF660066"/>
      <rgbColor rgb="FFF4A261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E2E8F0"/>
      <rgbColor rgb="FFD1FAE5"/>
      <rgbColor rgb="FFFEE2E2"/>
      <rgbColor rgb="FFF8FAFC"/>
      <rgbColor rgb="FFFF99CC"/>
      <rgbColor rgb="FFCC99FF"/>
      <rgbColor rgb="FFFED7AA"/>
      <rgbColor rgb="FF2563EB"/>
      <rgbColor rgb="FF33CCCC"/>
      <rgbColor rgb="FF99CC00"/>
      <rgbColor rgb="FFFFCC00"/>
      <rgbColor rgb="FFFF9900"/>
      <rgbColor rgb="FFEA580C"/>
      <rgbColor rgb="FF64748B"/>
      <rgbColor rgb="FF969696"/>
      <rgbColor rgb="FF064E3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4E3B"/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/>
      <c r="B4" s="3"/>
      <c r="C4" s="3"/>
      <c r="D4" s="3"/>
    </row>
    <row r="5" customFormat="false" ht="15" hidden="false" customHeight="false" outlineLevel="0" collapsed="false">
      <c r="A5" s="0" t="s">
        <v>2</v>
      </c>
      <c r="B5" s="0" t="s">
        <v>3</v>
      </c>
      <c r="C5" s="0" t="s">
        <v>4</v>
      </c>
      <c r="D5" s="0" t="s">
        <v>5</v>
      </c>
    </row>
    <row r="6" customFormat="false" ht="15" hidden="false" customHeight="false" outlineLevel="0" collapsed="false">
      <c r="A6" s="4" t="s">
        <v>6</v>
      </c>
      <c r="B6" s="5" t="n">
        <v>17</v>
      </c>
      <c r="C6" s="6" t="s">
        <v>7</v>
      </c>
      <c r="D6" s="5" t="s">
        <v>8</v>
      </c>
    </row>
    <row r="7" customFormat="false" ht="15" hidden="false" customHeight="false" outlineLevel="0" collapsed="false">
      <c r="A7" s="7" t="s">
        <v>9</v>
      </c>
      <c r="B7" s="8" t="n">
        <v>2</v>
      </c>
      <c r="C7" s="6" t="s">
        <v>7</v>
      </c>
      <c r="D7" s="8" t="s">
        <v>10</v>
      </c>
    </row>
    <row r="8" customFormat="false" ht="15" hidden="false" customHeight="false" outlineLevel="0" collapsed="false">
      <c r="A8" s="4" t="s">
        <v>11</v>
      </c>
      <c r="B8" s="5" t="n">
        <v>153</v>
      </c>
      <c r="C8" s="6" t="s">
        <v>7</v>
      </c>
      <c r="D8" s="5" t="s">
        <v>12</v>
      </c>
    </row>
    <row r="9" customFormat="false" ht="15" hidden="false" customHeight="false" outlineLevel="0" collapsed="false">
      <c r="A9" s="7" t="s">
        <v>13</v>
      </c>
      <c r="B9" s="8" t="n">
        <v>15</v>
      </c>
      <c r="C9" s="6" t="s">
        <v>7</v>
      </c>
      <c r="D9" s="8" t="s">
        <v>14</v>
      </c>
    </row>
    <row r="10" customFormat="false" ht="15" hidden="false" customHeight="false" outlineLevel="0" collapsed="false">
      <c r="A10" s="4" t="s">
        <v>15</v>
      </c>
      <c r="B10" s="5" t="n">
        <v>9</v>
      </c>
      <c r="C10" s="9" t="s">
        <v>16</v>
      </c>
      <c r="D10" s="5" t="s">
        <v>17</v>
      </c>
    </row>
    <row r="11" customFormat="false" ht="15" hidden="false" customHeight="false" outlineLevel="0" collapsed="false">
      <c r="A11" s="7" t="s">
        <v>18</v>
      </c>
      <c r="B11" s="8" t="n">
        <v>1</v>
      </c>
      <c r="C11" s="9" t="s">
        <v>16</v>
      </c>
      <c r="D11" s="8" t="s">
        <v>19</v>
      </c>
    </row>
    <row r="12" customFormat="false" ht="15" hidden="false" customHeight="false" outlineLevel="0" collapsed="false">
      <c r="A12" s="4" t="s">
        <v>20</v>
      </c>
      <c r="B12" s="5" t="n">
        <v>2</v>
      </c>
      <c r="C12" s="6" t="s">
        <v>7</v>
      </c>
      <c r="D12" s="5" t="s">
        <v>21</v>
      </c>
    </row>
    <row r="13" customFormat="false" ht="15" hidden="false" customHeight="false" outlineLevel="0" collapsed="false">
      <c r="A13" s="7" t="s">
        <v>22</v>
      </c>
      <c r="B13" s="8" t="n">
        <v>4</v>
      </c>
      <c r="C13" s="10" t="s">
        <v>23</v>
      </c>
      <c r="D13" s="8" t="s">
        <v>24</v>
      </c>
    </row>
    <row r="14" customFormat="false" ht="15" hidden="false" customHeight="false" outlineLevel="0" collapsed="false">
      <c r="A14" s="4" t="s">
        <v>25</v>
      </c>
      <c r="B14" s="5" t="n">
        <v>1</v>
      </c>
      <c r="C14" s="11" t="s">
        <v>26</v>
      </c>
      <c r="D14" s="5" t="s">
        <v>27</v>
      </c>
    </row>
    <row r="15" customFormat="false" ht="15" hidden="false" customHeight="false" outlineLevel="0" collapsed="false">
      <c r="A15" s="7" t="s">
        <v>28</v>
      </c>
      <c r="B15" s="8" t="n">
        <v>0</v>
      </c>
      <c r="C15" s="12" t="s">
        <v>29</v>
      </c>
      <c r="D15" s="8" t="s">
        <v>30</v>
      </c>
    </row>
    <row r="16" customFormat="false" ht="15" hidden="false" customHeight="false" outlineLevel="0" collapsed="false">
      <c r="A16" s="4" t="s">
        <v>31</v>
      </c>
      <c r="B16" s="5" t="s">
        <v>32</v>
      </c>
      <c r="C16" s="12" t="s">
        <v>29</v>
      </c>
      <c r="D16" s="5" t="s">
        <v>33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5F46"/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29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40"/>
  </cols>
  <sheetData>
    <row r="1" customFormat="false" ht="26.85" hidden="false" customHeight="false" outlineLevel="0" collapsed="false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</row>
    <row r="2" customFormat="false" ht="15" hidden="false" customHeight="false" outlineLevel="0" collapsed="false">
      <c r="A2" s="13" t="s">
        <v>44</v>
      </c>
      <c r="B2" s="8" t="s">
        <v>45</v>
      </c>
      <c r="C2" s="8" t="s">
        <v>46</v>
      </c>
      <c r="D2" s="14" t="s">
        <v>15</v>
      </c>
      <c r="E2" s="8" t="s">
        <v>15</v>
      </c>
      <c r="F2" s="8"/>
      <c r="G2" s="8"/>
      <c r="H2" s="8"/>
      <c r="I2" s="8" t="n">
        <v>6</v>
      </c>
      <c r="J2" s="8" t="s">
        <v>47</v>
      </c>
    </row>
    <row r="3" customFormat="false" ht="15" hidden="false" customHeight="false" outlineLevel="0" collapsed="false">
      <c r="A3" s="15" t="s">
        <v>48</v>
      </c>
      <c r="B3" s="5" t="s">
        <v>49</v>
      </c>
      <c r="C3" s="5" t="s">
        <v>50</v>
      </c>
      <c r="D3" s="14" t="s">
        <v>15</v>
      </c>
      <c r="E3" s="5" t="s">
        <v>15</v>
      </c>
      <c r="F3" s="5"/>
      <c r="G3" s="5"/>
      <c r="H3" s="5"/>
      <c r="I3" s="5" t="n">
        <v>6</v>
      </c>
      <c r="J3" s="5" t="s">
        <v>47</v>
      </c>
    </row>
    <row r="4" customFormat="false" ht="15" hidden="false" customHeight="false" outlineLevel="0" collapsed="false">
      <c r="A4" s="13" t="s">
        <v>51</v>
      </c>
      <c r="B4" s="8" t="s">
        <v>52</v>
      </c>
      <c r="C4" s="8" t="s">
        <v>53</v>
      </c>
      <c r="D4" s="14" t="s">
        <v>15</v>
      </c>
      <c r="E4" s="8" t="s">
        <v>15</v>
      </c>
      <c r="F4" s="8"/>
      <c r="G4" s="8"/>
      <c r="H4" s="8"/>
      <c r="I4" s="8" t="n">
        <v>6</v>
      </c>
      <c r="J4" s="8" t="s">
        <v>47</v>
      </c>
    </row>
    <row r="5" customFormat="false" ht="15" hidden="false" customHeight="false" outlineLevel="0" collapsed="false">
      <c r="A5" s="15" t="s">
        <v>54</v>
      </c>
      <c r="B5" s="5" t="s">
        <v>55</v>
      </c>
      <c r="C5" s="5" t="s">
        <v>56</v>
      </c>
      <c r="D5" s="16" t="s">
        <v>25</v>
      </c>
      <c r="E5" s="5" t="s">
        <v>25</v>
      </c>
      <c r="F5" s="5"/>
      <c r="G5" s="5"/>
      <c r="H5" s="5"/>
      <c r="I5" s="5" t="n">
        <v>3</v>
      </c>
      <c r="J5" s="5" t="s">
        <v>57</v>
      </c>
    </row>
    <row r="6" customFormat="false" ht="15" hidden="false" customHeight="false" outlineLevel="0" collapsed="false">
      <c r="A6" s="13" t="s">
        <v>58</v>
      </c>
      <c r="B6" s="8"/>
      <c r="C6" s="8" t="s">
        <v>59</v>
      </c>
      <c r="D6" s="6" t="s">
        <v>60</v>
      </c>
      <c r="E6" s="8" t="s">
        <v>60</v>
      </c>
      <c r="F6" s="8"/>
      <c r="G6" s="8"/>
      <c r="H6" s="8" t="s">
        <v>61</v>
      </c>
      <c r="I6" s="8" t="n">
        <v>3</v>
      </c>
      <c r="J6" s="8" t="s">
        <v>62</v>
      </c>
    </row>
    <row r="7" customFormat="false" ht="15" hidden="false" customHeight="false" outlineLevel="0" collapsed="false">
      <c r="A7" s="15" t="s">
        <v>63</v>
      </c>
      <c r="B7" s="5"/>
      <c r="C7" s="5" t="s">
        <v>64</v>
      </c>
      <c r="D7" s="14" t="s">
        <v>15</v>
      </c>
      <c r="E7" s="5" t="s">
        <v>15</v>
      </c>
      <c r="F7" s="5"/>
      <c r="G7" s="5"/>
      <c r="H7" s="5"/>
      <c r="I7" s="5" t="n">
        <v>6</v>
      </c>
      <c r="J7" s="5" t="s">
        <v>65</v>
      </c>
    </row>
    <row r="8" customFormat="false" ht="15" hidden="false" customHeight="false" outlineLevel="0" collapsed="false">
      <c r="A8" s="13" t="s">
        <v>66</v>
      </c>
      <c r="B8" s="8" t="s">
        <v>67</v>
      </c>
      <c r="C8" s="8" t="s">
        <v>68</v>
      </c>
      <c r="D8" s="14" t="s">
        <v>15</v>
      </c>
      <c r="E8" s="8" t="s">
        <v>15</v>
      </c>
      <c r="F8" s="8"/>
      <c r="G8" s="8"/>
      <c r="H8" s="8"/>
      <c r="I8" s="8" t="n">
        <v>4</v>
      </c>
      <c r="J8" s="8" t="s">
        <v>69</v>
      </c>
    </row>
    <row r="9" customFormat="false" ht="15" hidden="false" customHeight="false" outlineLevel="0" collapsed="false">
      <c r="A9" s="15" t="s">
        <v>70</v>
      </c>
      <c r="B9" s="5" t="s">
        <v>71</v>
      </c>
      <c r="C9" s="5" t="s">
        <v>72</v>
      </c>
      <c r="D9" s="14" t="s">
        <v>15</v>
      </c>
      <c r="E9" s="5" t="s">
        <v>15</v>
      </c>
      <c r="F9" s="5"/>
      <c r="G9" s="5"/>
      <c r="H9" s="5"/>
      <c r="I9" s="5" t="n">
        <v>6</v>
      </c>
      <c r="J9" s="5" t="s">
        <v>73</v>
      </c>
    </row>
    <row r="10" customFormat="false" ht="15" hidden="false" customHeight="false" outlineLevel="0" collapsed="false">
      <c r="A10" s="13" t="s">
        <v>74</v>
      </c>
      <c r="B10" s="8"/>
      <c r="C10" s="8" t="s">
        <v>75</v>
      </c>
      <c r="D10" s="17" t="s">
        <v>22</v>
      </c>
      <c r="E10" s="8" t="s">
        <v>22</v>
      </c>
      <c r="F10" s="8"/>
      <c r="G10" s="8" t="n">
        <v>5</v>
      </c>
      <c r="H10" s="8"/>
      <c r="I10" s="8" t="n">
        <v>6</v>
      </c>
      <c r="J10" s="8" t="s">
        <v>76</v>
      </c>
    </row>
    <row r="11" customFormat="false" ht="15" hidden="false" customHeight="false" outlineLevel="0" collapsed="false">
      <c r="A11" s="15" t="s">
        <v>77</v>
      </c>
      <c r="B11" s="5" t="s">
        <v>78</v>
      </c>
      <c r="C11" s="5" t="s">
        <v>79</v>
      </c>
      <c r="D11" s="14" t="s">
        <v>15</v>
      </c>
      <c r="E11" s="5" t="s">
        <v>15</v>
      </c>
      <c r="F11" s="5"/>
      <c r="G11" s="5"/>
      <c r="H11" s="5"/>
      <c r="I11" s="5" t="n">
        <v>6</v>
      </c>
      <c r="J11" s="5" t="s">
        <v>80</v>
      </c>
    </row>
    <row r="12" customFormat="false" ht="15" hidden="false" customHeight="false" outlineLevel="0" collapsed="false">
      <c r="A12" s="13" t="s">
        <v>81</v>
      </c>
      <c r="B12" s="8"/>
      <c r="C12" s="8" t="s">
        <v>82</v>
      </c>
      <c r="D12" s="6" t="s">
        <v>60</v>
      </c>
      <c r="E12" s="8" t="s">
        <v>60</v>
      </c>
      <c r="F12" s="8"/>
      <c r="G12" s="8"/>
      <c r="H12" s="8" t="s">
        <v>83</v>
      </c>
      <c r="I12" s="8" t="n">
        <v>3</v>
      </c>
      <c r="J12" s="8" t="s">
        <v>84</v>
      </c>
    </row>
    <row r="13" customFormat="false" ht="15" hidden="false" customHeight="false" outlineLevel="0" collapsed="false">
      <c r="A13" s="15" t="s">
        <v>85</v>
      </c>
      <c r="B13" s="5"/>
      <c r="C13" s="5" t="s">
        <v>86</v>
      </c>
      <c r="D13" s="14" t="s">
        <v>15</v>
      </c>
      <c r="E13" s="5" t="s">
        <v>15</v>
      </c>
      <c r="F13" s="5"/>
      <c r="G13" s="5"/>
      <c r="H13" s="5"/>
      <c r="I13" s="5" t="n">
        <v>6</v>
      </c>
      <c r="J13" s="5" t="s">
        <v>87</v>
      </c>
    </row>
    <row r="14" customFormat="false" ht="15" hidden="false" customHeight="false" outlineLevel="0" collapsed="false">
      <c r="A14" s="13" t="s">
        <v>88</v>
      </c>
      <c r="B14" s="8"/>
      <c r="C14" s="8" t="s">
        <v>89</v>
      </c>
      <c r="D14" s="17" t="s">
        <v>22</v>
      </c>
      <c r="E14" s="8" t="s">
        <v>22</v>
      </c>
      <c r="F14" s="8"/>
      <c r="G14" s="8" t="n">
        <v>13</v>
      </c>
      <c r="H14" s="8" t="s">
        <v>90</v>
      </c>
      <c r="I14" s="8" t="n">
        <v>6</v>
      </c>
      <c r="J14" s="8" t="s">
        <v>91</v>
      </c>
    </row>
    <row r="15" customFormat="false" ht="15" hidden="false" customHeight="false" outlineLevel="0" collapsed="false">
      <c r="A15" s="15" t="s">
        <v>92</v>
      </c>
      <c r="B15" s="5" t="s">
        <v>93</v>
      </c>
      <c r="C15" s="5" t="s">
        <v>94</v>
      </c>
      <c r="D15" s="14" t="s">
        <v>15</v>
      </c>
      <c r="E15" s="5" t="s">
        <v>15</v>
      </c>
      <c r="F15" s="5"/>
      <c r="G15" s="5"/>
      <c r="H15" s="5"/>
      <c r="I15" s="5" t="n">
        <v>6</v>
      </c>
      <c r="J15" s="5" t="s">
        <v>47</v>
      </c>
    </row>
    <row r="16" customFormat="false" ht="15" hidden="false" customHeight="false" outlineLevel="0" collapsed="false">
      <c r="A16" s="13" t="s">
        <v>95</v>
      </c>
      <c r="B16" s="8" t="s">
        <v>96</v>
      </c>
      <c r="C16" s="8" t="s">
        <v>97</v>
      </c>
      <c r="D16" s="14" t="s">
        <v>15</v>
      </c>
      <c r="E16" s="8" t="s">
        <v>98</v>
      </c>
      <c r="F16" s="8"/>
      <c r="G16" s="8" t="n">
        <v>14</v>
      </c>
      <c r="H16" s="8"/>
      <c r="I16" s="8" t="n">
        <v>6</v>
      </c>
      <c r="J16" s="8" t="s">
        <v>99</v>
      </c>
    </row>
    <row r="17" customFormat="false" ht="15" hidden="false" customHeight="false" outlineLevel="0" collapsed="false">
      <c r="A17" s="18" t="s">
        <v>100</v>
      </c>
      <c r="B17" s="19"/>
      <c r="C17" s="19" t="s">
        <v>101</v>
      </c>
      <c r="D17" s="19" t="s">
        <v>22</v>
      </c>
      <c r="E17" s="19" t="s">
        <v>22</v>
      </c>
      <c r="F17" s="19"/>
      <c r="G17" s="19" t="n">
        <v>12</v>
      </c>
      <c r="H17" s="19" t="s">
        <v>102</v>
      </c>
      <c r="I17" s="19" t="n">
        <v>6</v>
      </c>
      <c r="J17" s="19" t="s">
        <v>103</v>
      </c>
    </row>
    <row r="18" customFormat="false" ht="15" hidden="false" customHeight="false" outlineLevel="0" collapsed="false">
      <c r="A18" s="13" t="s">
        <v>104</v>
      </c>
      <c r="B18" s="8"/>
      <c r="C18" s="8" t="s">
        <v>105</v>
      </c>
      <c r="D18" s="17" t="s">
        <v>22</v>
      </c>
      <c r="E18" s="8" t="s">
        <v>22</v>
      </c>
      <c r="F18" s="8"/>
      <c r="G18" s="8" t="n">
        <v>13</v>
      </c>
      <c r="H18" s="8" t="s">
        <v>90</v>
      </c>
      <c r="I18" s="8" t="n">
        <v>6</v>
      </c>
      <c r="J18" s="8" t="s">
        <v>91</v>
      </c>
    </row>
    <row r="19" customFormat="false" ht="15" hidden="false" customHeight="false" outlineLevel="0" collapsed="false">
      <c r="A19" s="20" t="s">
        <v>106</v>
      </c>
      <c r="B19" s="0" t="n">
        <f aca="false">COUNTA(A2:A18)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5F46"/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11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9"/>
  </cols>
  <sheetData>
    <row r="1" customFormat="false" ht="15" hidden="false" customHeight="false" outlineLevel="0" collapsed="false">
      <c r="A1" s="3" t="s">
        <v>34</v>
      </c>
      <c r="B1" s="3" t="s">
        <v>35</v>
      </c>
      <c r="C1" s="3" t="s">
        <v>36</v>
      </c>
      <c r="D1" s="3" t="s">
        <v>37</v>
      </c>
      <c r="E1" s="3" t="s">
        <v>107</v>
      </c>
      <c r="F1" s="3" t="s">
        <v>108</v>
      </c>
      <c r="G1" s="3" t="s">
        <v>42</v>
      </c>
      <c r="H1" s="3" t="s">
        <v>43</v>
      </c>
    </row>
    <row r="2" customFormat="false" ht="15" hidden="false" customHeight="false" outlineLevel="0" collapsed="false">
      <c r="A2" s="13" t="s">
        <v>109</v>
      </c>
      <c r="B2" s="8" t="s">
        <v>110</v>
      </c>
      <c r="C2" s="8"/>
      <c r="D2" s="8" t="s">
        <v>111</v>
      </c>
      <c r="E2" s="8" t="s">
        <v>112</v>
      </c>
      <c r="F2" s="8" t="s">
        <v>113</v>
      </c>
      <c r="G2" s="8" t="n">
        <v>3</v>
      </c>
      <c r="H2" s="8" t="s">
        <v>114</v>
      </c>
    </row>
    <row r="3" customFormat="false" ht="15" hidden="false" customHeight="false" outlineLevel="0" collapsed="false">
      <c r="A3" s="15" t="s">
        <v>115</v>
      </c>
      <c r="B3" s="5" t="s">
        <v>116</v>
      </c>
      <c r="C3" s="5"/>
      <c r="D3" s="5" t="s">
        <v>111</v>
      </c>
      <c r="E3" s="5" t="s">
        <v>117</v>
      </c>
      <c r="F3" s="5" t="s">
        <v>113</v>
      </c>
      <c r="G3" s="5" t="n">
        <v>2.5</v>
      </c>
      <c r="H3" s="5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261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30"/>
  </cols>
  <sheetData>
    <row r="1" customFormat="false" ht="26.85" hidden="false" customHeight="false" outlineLevel="0" collapsed="false">
      <c r="A1" s="3" t="s">
        <v>119</v>
      </c>
      <c r="B1" s="3" t="s">
        <v>120</v>
      </c>
      <c r="C1" s="3" t="s">
        <v>121</v>
      </c>
      <c r="D1" s="3" t="s">
        <v>122</v>
      </c>
      <c r="E1" s="3" t="s">
        <v>123</v>
      </c>
      <c r="F1" s="3" t="s">
        <v>124</v>
      </c>
      <c r="G1" s="3" t="s">
        <v>125</v>
      </c>
      <c r="H1" s="3" t="s">
        <v>126</v>
      </c>
      <c r="I1" s="3" t="s">
        <v>127</v>
      </c>
      <c r="J1" s="3" t="s">
        <v>37</v>
      </c>
      <c r="K1" s="3" t="s">
        <v>43</v>
      </c>
    </row>
    <row r="2" customFormat="false" ht="15" hidden="false" customHeight="false" outlineLevel="0" collapsed="false">
      <c r="A2" s="13" t="s">
        <v>128</v>
      </c>
      <c r="B2" s="8" t="s">
        <v>66</v>
      </c>
      <c r="C2" s="8" t="s">
        <v>68</v>
      </c>
      <c r="D2" s="8" t="s">
        <v>129</v>
      </c>
      <c r="E2" s="8" t="n">
        <v>6</v>
      </c>
      <c r="F2" s="8" t="n">
        <v>0</v>
      </c>
      <c r="G2" s="8" t="n">
        <v>6</v>
      </c>
      <c r="H2" s="8" t="s">
        <v>130</v>
      </c>
      <c r="I2" s="8" t="s">
        <v>130</v>
      </c>
      <c r="J2" s="6" t="s">
        <v>131</v>
      </c>
      <c r="K2" s="8" t="s">
        <v>132</v>
      </c>
    </row>
    <row r="3" customFormat="false" ht="15" hidden="false" customHeight="false" outlineLevel="0" collapsed="false">
      <c r="A3" s="15" t="s">
        <v>133</v>
      </c>
      <c r="B3" s="5" t="s">
        <v>77</v>
      </c>
      <c r="C3" s="5" t="s">
        <v>79</v>
      </c>
      <c r="D3" s="5" t="s">
        <v>129</v>
      </c>
      <c r="E3" s="5" t="n">
        <v>12</v>
      </c>
      <c r="F3" s="5" t="n">
        <v>0</v>
      </c>
      <c r="G3" s="5" t="n">
        <v>12</v>
      </c>
      <c r="H3" s="5" t="s">
        <v>130</v>
      </c>
      <c r="I3" s="5" t="s">
        <v>130</v>
      </c>
      <c r="J3" s="6" t="s">
        <v>131</v>
      </c>
      <c r="K3" s="5" t="s">
        <v>134</v>
      </c>
    </row>
    <row r="4" customFormat="false" ht="15" hidden="false" customHeight="false" outlineLevel="0" collapsed="false">
      <c r="A4" s="13" t="s">
        <v>135</v>
      </c>
      <c r="B4" s="8" t="s">
        <v>44</v>
      </c>
      <c r="C4" s="8" t="s">
        <v>46</v>
      </c>
      <c r="D4" s="8" t="s">
        <v>136</v>
      </c>
      <c r="E4" s="8" t="n">
        <v>11</v>
      </c>
      <c r="F4" s="8" t="n">
        <v>1</v>
      </c>
      <c r="G4" s="8" t="n">
        <v>10</v>
      </c>
      <c r="H4" s="8" t="s">
        <v>137</v>
      </c>
      <c r="I4" s="8" t="s">
        <v>138</v>
      </c>
      <c r="J4" s="6" t="s">
        <v>131</v>
      </c>
      <c r="K4" s="8" t="s">
        <v>139</v>
      </c>
    </row>
    <row r="5" customFormat="false" ht="15" hidden="false" customHeight="false" outlineLevel="0" collapsed="false">
      <c r="A5" s="15" t="s">
        <v>140</v>
      </c>
      <c r="B5" s="5" t="s">
        <v>51</v>
      </c>
      <c r="C5" s="5" t="s">
        <v>53</v>
      </c>
      <c r="D5" s="5" t="s">
        <v>141</v>
      </c>
      <c r="E5" s="5" t="n">
        <v>13</v>
      </c>
      <c r="F5" s="5" t="n">
        <v>0</v>
      </c>
      <c r="G5" s="5" t="n">
        <v>13</v>
      </c>
      <c r="H5" s="5" t="s">
        <v>142</v>
      </c>
      <c r="I5" s="5" t="s">
        <v>138</v>
      </c>
      <c r="J5" s="6" t="s">
        <v>131</v>
      </c>
      <c r="K5" s="5" t="s">
        <v>139</v>
      </c>
    </row>
    <row r="6" customFormat="false" ht="15" hidden="false" customHeight="false" outlineLevel="0" collapsed="false">
      <c r="A6" s="13" t="s">
        <v>143</v>
      </c>
      <c r="B6" s="8" t="s">
        <v>48</v>
      </c>
      <c r="C6" s="8" t="s">
        <v>50</v>
      </c>
      <c r="D6" s="8" t="s">
        <v>144</v>
      </c>
      <c r="E6" s="8" t="n">
        <v>14</v>
      </c>
      <c r="F6" s="8" t="n">
        <v>0</v>
      </c>
      <c r="G6" s="8" t="n">
        <v>14</v>
      </c>
      <c r="H6" s="8" t="s">
        <v>102</v>
      </c>
      <c r="I6" s="8" t="s">
        <v>138</v>
      </c>
      <c r="J6" s="6" t="s">
        <v>131</v>
      </c>
      <c r="K6" s="8" t="s">
        <v>139</v>
      </c>
    </row>
    <row r="7" customFormat="false" ht="15" hidden="false" customHeight="false" outlineLevel="0" collapsed="false">
      <c r="A7" s="15" t="s">
        <v>145</v>
      </c>
      <c r="B7" s="5" t="s">
        <v>92</v>
      </c>
      <c r="C7" s="5" t="s">
        <v>94</v>
      </c>
      <c r="D7" s="5" t="s">
        <v>144</v>
      </c>
      <c r="E7" s="5" t="n">
        <v>14</v>
      </c>
      <c r="F7" s="5" t="n">
        <v>1</v>
      </c>
      <c r="G7" s="5" t="n">
        <v>13</v>
      </c>
      <c r="H7" s="5" t="s">
        <v>102</v>
      </c>
      <c r="I7" s="5" t="s">
        <v>138</v>
      </c>
      <c r="J7" s="6" t="s">
        <v>131</v>
      </c>
      <c r="K7" s="5" t="s">
        <v>146</v>
      </c>
    </row>
    <row r="8" customFormat="false" ht="15" hidden="false" customHeight="false" outlineLevel="0" collapsed="false">
      <c r="A8" s="13" t="s">
        <v>147</v>
      </c>
      <c r="B8" s="8" t="s">
        <v>70</v>
      </c>
      <c r="C8" s="8" t="s">
        <v>72</v>
      </c>
      <c r="D8" s="8" t="s">
        <v>144</v>
      </c>
      <c r="E8" s="8" t="n">
        <v>9</v>
      </c>
      <c r="F8" s="8" t="n">
        <v>1</v>
      </c>
      <c r="G8" s="8" t="n">
        <v>8</v>
      </c>
      <c r="H8" s="8" t="s">
        <v>102</v>
      </c>
      <c r="I8" s="8" t="s">
        <v>138</v>
      </c>
      <c r="J8" s="6" t="s">
        <v>131</v>
      </c>
      <c r="K8" s="8" t="s">
        <v>148</v>
      </c>
    </row>
    <row r="9" customFormat="false" ht="15" hidden="false" customHeight="false" outlineLevel="0" collapsed="false">
      <c r="A9" s="15" t="s">
        <v>149</v>
      </c>
      <c r="B9" s="5" t="s">
        <v>95</v>
      </c>
      <c r="C9" s="5" t="s">
        <v>97</v>
      </c>
      <c r="D9" s="5" t="s">
        <v>144</v>
      </c>
      <c r="E9" s="5" t="n">
        <v>14</v>
      </c>
      <c r="F9" s="5" t="n">
        <v>0</v>
      </c>
      <c r="G9" s="5" t="n">
        <v>14</v>
      </c>
      <c r="H9" s="5" t="s">
        <v>102</v>
      </c>
      <c r="I9" s="5" t="s">
        <v>138</v>
      </c>
      <c r="J9" s="6" t="s">
        <v>131</v>
      </c>
      <c r="K9" s="5" t="s">
        <v>150</v>
      </c>
    </row>
    <row r="10" customFormat="false" ht="15" hidden="false" customHeight="false" outlineLevel="0" collapsed="false">
      <c r="A10" s="13" t="s">
        <v>151</v>
      </c>
      <c r="B10" s="8" t="s">
        <v>63</v>
      </c>
      <c r="C10" s="8" t="s">
        <v>64</v>
      </c>
      <c r="D10" s="8" t="s">
        <v>152</v>
      </c>
      <c r="E10" s="8" t="n">
        <v>12</v>
      </c>
      <c r="F10" s="8" t="n">
        <v>2</v>
      </c>
      <c r="G10" s="8" t="n">
        <v>10</v>
      </c>
      <c r="H10" s="8" t="s">
        <v>153</v>
      </c>
      <c r="I10" s="8" t="s">
        <v>138</v>
      </c>
      <c r="J10" s="6" t="s">
        <v>131</v>
      </c>
      <c r="K10" s="8" t="s">
        <v>154</v>
      </c>
    </row>
    <row r="11" customFormat="false" ht="15" hidden="false" customHeight="false" outlineLevel="0" collapsed="false">
      <c r="A11" s="15" t="s">
        <v>155</v>
      </c>
      <c r="B11" s="5" t="s">
        <v>85</v>
      </c>
      <c r="C11" s="5" t="s">
        <v>82</v>
      </c>
      <c r="D11" s="5" t="s">
        <v>130</v>
      </c>
      <c r="E11" s="5" t="n">
        <v>6</v>
      </c>
      <c r="F11" s="5" t="n">
        <v>0</v>
      </c>
      <c r="G11" s="5" t="n">
        <v>6</v>
      </c>
      <c r="H11" s="5" t="s">
        <v>156</v>
      </c>
      <c r="I11" s="5" t="s">
        <v>138</v>
      </c>
      <c r="J11" s="6" t="s">
        <v>131</v>
      </c>
      <c r="K11" s="5" t="s">
        <v>157</v>
      </c>
    </row>
    <row r="12" customFormat="false" ht="15" hidden="false" customHeight="false" outlineLevel="0" collapsed="false">
      <c r="A12" s="13" t="s">
        <v>158</v>
      </c>
      <c r="B12" s="8" t="s">
        <v>74</v>
      </c>
      <c r="C12" s="8" t="s">
        <v>75</v>
      </c>
      <c r="D12" s="8" t="s">
        <v>159</v>
      </c>
      <c r="E12" s="8" t="n">
        <v>5</v>
      </c>
      <c r="F12" s="8" t="n">
        <v>0</v>
      </c>
      <c r="G12" s="8" t="n">
        <v>5</v>
      </c>
      <c r="H12" s="8" t="s">
        <v>160</v>
      </c>
      <c r="I12" s="8"/>
      <c r="J12" s="21" t="s">
        <v>161</v>
      </c>
      <c r="K12" s="8" t="s">
        <v>162</v>
      </c>
    </row>
    <row r="13" customFormat="false" ht="15" hidden="false" customHeight="false" outlineLevel="0" collapsed="false">
      <c r="A13" s="18" t="s">
        <v>163</v>
      </c>
      <c r="B13" s="19" t="s">
        <v>100</v>
      </c>
      <c r="C13" s="19" t="s">
        <v>101</v>
      </c>
      <c r="D13" s="19" t="s">
        <v>102</v>
      </c>
      <c r="E13" s="19" t="n">
        <v>12</v>
      </c>
      <c r="F13" s="19" t="n">
        <v>0</v>
      </c>
      <c r="G13" s="19" t="n">
        <v>12</v>
      </c>
      <c r="H13" s="19" t="s">
        <v>164</v>
      </c>
      <c r="I13" s="19"/>
      <c r="J13" s="19" t="s">
        <v>161</v>
      </c>
      <c r="K13" s="19" t="s">
        <v>165</v>
      </c>
    </row>
    <row r="14" customFormat="false" ht="15" hidden="false" customHeight="false" outlineLevel="0" collapsed="false">
      <c r="A14" s="13" t="s">
        <v>166</v>
      </c>
      <c r="B14" s="8" t="s">
        <v>88</v>
      </c>
      <c r="C14" s="8" t="s">
        <v>89</v>
      </c>
      <c r="D14" s="8" t="s">
        <v>90</v>
      </c>
      <c r="E14" s="8" t="n">
        <v>13</v>
      </c>
      <c r="F14" s="8" t="n">
        <v>0</v>
      </c>
      <c r="G14" s="8" t="n">
        <v>13</v>
      </c>
      <c r="H14" s="8" t="s">
        <v>167</v>
      </c>
      <c r="I14" s="8"/>
      <c r="J14" s="21" t="s">
        <v>161</v>
      </c>
      <c r="K14" s="8" t="s">
        <v>168</v>
      </c>
    </row>
    <row r="15" customFormat="false" ht="15" hidden="false" customHeight="false" outlineLevel="0" collapsed="false">
      <c r="A15" s="15" t="s">
        <v>169</v>
      </c>
      <c r="B15" s="5" t="s">
        <v>104</v>
      </c>
      <c r="C15" s="5" t="s">
        <v>105</v>
      </c>
      <c r="D15" s="5" t="s">
        <v>90</v>
      </c>
      <c r="E15" s="5" t="n">
        <v>13</v>
      </c>
      <c r="F15" s="5" t="n">
        <v>0</v>
      </c>
      <c r="G15" s="5" t="n">
        <v>13</v>
      </c>
      <c r="H15" s="5" t="s">
        <v>167</v>
      </c>
      <c r="I15" s="5"/>
      <c r="J15" s="21" t="s">
        <v>161</v>
      </c>
      <c r="K15" s="5" t="s">
        <v>168</v>
      </c>
    </row>
    <row r="16" customFormat="false" ht="15" hidden="false" customHeight="false" outlineLevel="0" collapsed="false">
      <c r="A16" s="22" t="s">
        <v>170</v>
      </c>
      <c r="B16" s="22"/>
      <c r="C16" s="22"/>
      <c r="D16" s="22"/>
      <c r="E16" s="22" t="n">
        <f aca="false">SUM(E2:E15)</f>
        <v>154</v>
      </c>
      <c r="F16" s="22" t="n">
        <f aca="false">SUM(F2:F15)</f>
        <v>5</v>
      </c>
      <c r="G16" s="22" t="n">
        <f aca="false">SUM(G2:G15)</f>
        <v>149</v>
      </c>
      <c r="H16" s="22"/>
      <c r="I16" s="22"/>
      <c r="J16" s="22"/>
      <c r="K16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3" t="s">
        <v>34</v>
      </c>
      <c r="B1" s="3" t="s">
        <v>171</v>
      </c>
      <c r="C1" s="3" t="s">
        <v>172</v>
      </c>
      <c r="D1" s="3" t="s">
        <v>173</v>
      </c>
      <c r="E1" s="3" t="s">
        <v>174</v>
      </c>
      <c r="F1" s="3" t="s">
        <v>37</v>
      </c>
      <c r="G1" s="3" t="s">
        <v>43</v>
      </c>
    </row>
    <row r="2" customFormat="false" ht="15" hidden="false" customHeight="false" outlineLevel="0" collapsed="false">
      <c r="A2" s="13" t="s">
        <v>175</v>
      </c>
      <c r="B2" s="8" t="s">
        <v>176</v>
      </c>
      <c r="C2" s="8" t="s">
        <v>177</v>
      </c>
      <c r="D2" s="19" t="n">
        <v>0</v>
      </c>
      <c r="E2" s="8" t="n">
        <v>500</v>
      </c>
      <c r="F2" s="12" t="s">
        <v>178</v>
      </c>
      <c r="G2" s="8" t="s">
        <v>179</v>
      </c>
    </row>
    <row r="3" customFormat="false" ht="15" hidden="false" customHeight="false" outlineLevel="0" collapsed="false">
      <c r="A3" s="15" t="s">
        <v>180</v>
      </c>
      <c r="B3" s="5" t="s">
        <v>181</v>
      </c>
      <c r="C3" s="5" t="s">
        <v>177</v>
      </c>
      <c r="D3" s="19" t="n">
        <v>0</v>
      </c>
      <c r="E3" s="5" t="n">
        <v>200</v>
      </c>
      <c r="F3" s="12" t="s">
        <v>178</v>
      </c>
      <c r="G3" s="5" t="s">
        <v>182</v>
      </c>
    </row>
    <row r="4" customFormat="false" ht="15" hidden="false" customHeight="false" outlineLevel="0" collapsed="false">
      <c r="A4" s="13" t="s">
        <v>183</v>
      </c>
      <c r="B4" s="8" t="s">
        <v>184</v>
      </c>
      <c r="C4" s="8" t="s">
        <v>177</v>
      </c>
      <c r="D4" s="19" t="n">
        <v>0</v>
      </c>
      <c r="E4" s="8" t="n">
        <v>200</v>
      </c>
      <c r="F4" s="12" t="s">
        <v>178</v>
      </c>
      <c r="G4" s="8" t="s">
        <v>185</v>
      </c>
    </row>
    <row r="5" customFormat="false" ht="15" hidden="false" customHeight="false" outlineLevel="0" collapsed="false">
      <c r="A5" s="15" t="s">
        <v>186</v>
      </c>
      <c r="B5" s="5" t="s">
        <v>187</v>
      </c>
      <c r="C5" s="5" t="s">
        <v>177</v>
      </c>
      <c r="D5" s="19" t="n">
        <v>0</v>
      </c>
      <c r="E5" s="5" t="n">
        <v>100</v>
      </c>
      <c r="F5" s="12" t="s">
        <v>178</v>
      </c>
      <c r="G5" s="5" t="s">
        <v>188</v>
      </c>
    </row>
    <row r="6" customFormat="false" ht="15" hidden="false" customHeight="false" outlineLevel="0" collapsed="false">
      <c r="A6" s="13" t="s">
        <v>189</v>
      </c>
      <c r="B6" s="8" t="s">
        <v>190</v>
      </c>
      <c r="C6" s="8" t="s">
        <v>177</v>
      </c>
      <c r="D6" s="19" t="n">
        <v>0</v>
      </c>
      <c r="E6" s="8" t="n">
        <v>500</v>
      </c>
      <c r="F6" s="12" t="s">
        <v>178</v>
      </c>
      <c r="G6" s="8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36"/>
  </cols>
  <sheetData>
    <row r="1" customFormat="false" ht="15" hidden="false" customHeight="false" outlineLevel="0" collapsed="false">
      <c r="A1" s="3" t="s">
        <v>34</v>
      </c>
      <c r="B1" s="3" t="s">
        <v>192</v>
      </c>
      <c r="C1" s="3" t="s">
        <v>193</v>
      </c>
      <c r="D1" s="3" t="s">
        <v>194</v>
      </c>
      <c r="E1" s="3" t="s">
        <v>172</v>
      </c>
      <c r="F1" s="3" t="s">
        <v>195</v>
      </c>
      <c r="G1" s="3" t="s">
        <v>196</v>
      </c>
      <c r="H1" s="3" t="s">
        <v>37</v>
      </c>
      <c r="I1" s="3" t="s">
        <v>43</v>
      </c>
    </row>
    <row r="2" customFormat="false" ht="15" hidden="false" customHeight="false" outlineLevel="0" collapsed="false">
      <c r="A2" s="13" t="s">
        <v>197</v>
      </c>
      <c r="B2" s="8" t="s">
        <v>198</v>
      </c>
      <c r="C2" s="8" t="s">
        <v>199</v>
      </c>
      <c r="D2" s="8" t="s">
        <v>200</v>
      </c>
      <c r="E2" s="8" t="s">
        <v>201</v>
      </c>
      <c r="F2" s="8" t="n">
        <v>0</v>
      </c>
      <c r="G2" s="8" t="n">
        <v>20</v>
      </c>
      <c r="H2" s="12" t="s">
        <v>178</v>
      </c>
      <c r="I2" s="8" t="s">
        <v>202</v>
      </c>
    </row>
    <row r="3" customFormat="false" ht="15" hidden="false" customHeight="false" outlineLevel="0" collapsed="false">
      <c r="A3" s="15" t="s">
        <v>203</v>
      </c>
      <c r="B3" s="5" t="s">
        <v>204</v>
      </c>
      <c r="C3" s="5" t="s">
        <v>205</v>
      </c>
      <c r="D3" s="5" t="s">
        <v>206</v>
      </c>
      <c r="E3" s="5" t="s">
        <v>207</v>
      </c>
      <c r="F3" s="5" t="n">
        <v>3</v>
      </c>
      <c r="G3" s="5" t="n">
        <v>5</v>
      </c>
      <c r="H3" s="11" t="s">
        <v>208</v>
      </c>
      <c r="I3" s="5" t="s">
        <v>209</v>
      </c>
    </row>
    <row r="4" customFormat="false" ht="15" hidden="false" customHeight="false" outlineLevel="0" collapsed="false">
      <c r="A4" s="13" t="s">
        <v>210</v>
      </c>
      <c r="B4" s="8" t="s">
        <v>211</v>
      </c>
      <c r="C4" s="8" t="s">
        <v>212</v>
      </c>
      <c r="D4" s="8" t="s">
        <v>213</v>
      </c>
      <c r="E4" s="8" t="s">
        <v>214</v>
      </c>
      <c r="F4" s="8" t="n">
        <v>0</v>
      </c>
      <c r="G4" s="8" t="n">
        <v>50</v>
      </c>
      <c r="H4" s="12" t="s">
        <v>178</v>
      </c>
      <c r="I4" s="8" t="s">
        <v>215</v>
      </c>
    </row>
    <row r="5" customFormat="false" ht="15" hidden="false" customHeight="false" outlineLevel="0" collapsed="false">
      <c r="A5" s="15" t="s">
        <v>216</v>
      </c>
      <c r="B5" s="5" t="s">
        <v>217</v>
      </c>
      <c r="C5" s="5" t="s">
        <v>199</v>
      </c>
      <c r="D5" s="5" t="s">
        <v>218</v>
      </c>
      <c r="E5" s="5" t="s">
        <v>207</v>
      </c>
      <c r="F5" s="5" t="n">
        <v>5</v>
      </c>
      <c r="G5" s="5" t="n">
        <v>3</v>
      </c>
      <c r="H5" s="6" t="s">
        <v>7</v>
      </c>
      <c r="I5" s="5" t="s">
        <v>219</v>
      </c>
    </row>
    <row r="6" customFormat="false" ht="15" hidden="false" customHeight="false" outlineLevel="0" collapsed="false">
      <c r="A6" s="13" t="s">
        <v>220</v>
      </c>
      <c r="B6" s="8" t="s">
        <v>221</v>
      </c>
      <c r="C6" s="8" t="s">
        <v>222</v>
      </c>
      <c r="D6" s="8" t="s">
        <v>223</v>
      </c>
      <c r="E6" s="8" t="s">
        <v>224</v>
      </c>
      <c r="F6" s="8" t="n">
        <v>1</v>
      </c>
      <c r="G6" s="8" t="n">
        <v>3</v>
      </c>
      <c r="H6" s="11" t="s">
        <v>208</v>
      </c>
      <c r="I6" s="8" t="s">
        <v>225</v>
      </c>
    </row>
    <row r="7" customFormat="false" ht="15" hidden="false" customHeight="false" outlineLevel="0" collapsed="false">
      <c r="A7" s="15" t="s">
        <v>226</v>
      </c>
      <c r="B7" s="5" t="s">
        <v>227</v>
      </c>
      <c r="C7" s="5" t="s">
        <v>199</v>
      </c>
      <c r="D7" s="5" t="s">
        <v>228</v>
      </c>
      <c r="E7" s="5" t="s">
        <v>224</v>
      </c>
      <c r="F7" s="5" t="n">
        <v>1</v>
      </c>
      <c r="G7" s="5" t="n">
        <v>3</v>
      </c>
      <c r="H7" s="11" t="s">
        <v>208</v>
      </c>
      <c r="I7" s="5" t="s">
        <v>229</v>
      </c>
    </row>
    <row r="8" customFormat="false" ht="15" hidden="false" customHeight="false" outlineLevel="0" collapsed="false">
      <c r="A8" s="13" t="s">
        <v>230</v>
      </c>
      <c r="B8" s="8" t="s">
        <v>231</v>
      </c>
      <c r="C8" s="8" t="s">
        <v>232</v>
      </c>
      <c r="D8" s="8" t="s">
        <v>233</v>
      </c>
      <c r="E8" s="8" t="s">
        <v>214</v>
      </c>
      <c r="F8" s="8" t="n">
        <v>0</v>
      </c>
      <c r="G8" s="8" t="n">
        <v>50</v>
      </c>
      <c r="H8" s="12" t="s">
        <v>178</v>
      </c>
      <c r="I8" s="8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7"/>
    <col collapsed="false" customWidth="true" hidden="false" outlineLevel="0" max="3" min="3" style="0" width="21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21"/>
  </cols>
  <sheetData>
    <row r="1" customFormat="false" ht="15" hidden="false" customHeight="false" outlineLevel="0" collapsed="false">
      <c r="A1" s="3" t="s">
        <v>235</v>
      </c>
      <c r="B1" s="3" t="s">
        <v>192</v>
      </c>
      <c r="C1" s="3" t="s">
        <v>236</v>
      </c>
      <c r="D1" s="3" t="s">
        <v>172</v>
      </c>
      <c r="E1" s="3" t="s">
        <v>237</v>
      </c>
      <c r="F1" s="3" t="s">
        <v>195</v>
      </c>
      <c r="G1" s="3" t="s">
        <v>238</v>
      </c>
      <c r="H1" s="3" t="s">
        <v>239</v>
      </c>
    </row>
    <row r="2" customFormat="false" ht="15" hidden="false" customHeight="false" outlineLevel="0" collapsed="false">
      <c r="A2" s="8" t="n">
        <v>1</v>
      </c>
      <c r="B2" s="8" t="s">
        <v>240</v>
      </c>
      <c r="C2" s="8" t="s">
        <v>241</v>
      </c>
      <c r="D2" s="8" t="s">
        <v>242</v>
      </c>
      <c r="E2" s="8" t="s">
        <v>243</v>
      </c>
      <c r="F2" s="23" t="n">
        <v>0</v>
      </c>
      <c r="G2" s="8"/>
      <c r="H2" s="8"/>
    </row>
    <row r="3" customFormat="false" ht="15" hidden="false" customHeight="false" outlineLevel="0" collapsed="false">
      <c r="A3" s="5" t="n">
        <v>2</v>
      </c>
      <c r="B3" s="5" t="s">
        <v>244</v>
      </c>
      <c r="C3" s="5" t="s">
        <v>241</v>
      </c>
      <c r="D3" s="5" t="s">
        <v>242</v>
      </c>
      <c r="E3" s="5" t="s">
        <v>245</v>
      </c>
      <c r="F3" s="5" t="n">
        <v>4</v>
      </c>
      <c r="G3" s="5" t="n">
        <v>4000</v>
      </c>
      <c r="H3" s="5" t="n">
        <v>16000</v>
      </c>
    </row>
    <row r="4" customFormat="false" ht="15" hidden="false" customHeight="false" outlineLevel="0" collapsed="false">
      <c r="A4" s="8" t="n">
        <v>3</v>
      </c>
      <c r="B4" s="8" t="s">
        <v>246</v>
      </c>
      <c r="C4" s="8" t="s">
        <v>241</v>
      </c>
      <c r="D4" s="8" t="s">
        <v>242</v>
      </c>
      <c r="E4" s="8" t="s">
        <v>247</v>
      </c>
      <c r="F4" s="8" t="n">
        <v>5</v>
      </c>
      <c r="G4" s="8" t="n">
        <v>3000</v>
      </c>
      <c r="H4" s="8" t="n">
        <v>15000</v>
      </c>
    </row>
    <row r="5" customFormat="false" ht="15" hidden="false" customHeight="false" outlineLevel="0" collapsed="false">
      <c r="A5" s="5" t="n">
        <v>4</v>
      </c>
      <c r="B5" s="5" t="s">
        <v>248</v>
      </c>
      <c r="C5" s="5" t="s">
        <v>205</v>
      </c>
      <c r="D5" s="5" t="s">
        <v>242</v>
      </c>
      <c r="E5" s="5" t="s">
        <v>249</v>
      </c>
      <c r="F5" s="5" t="n">
        <v>4</v>
      </c>
      <c r="G5" s="5" t="n">
        <v>7500</v>
      </c>
      <c r="H5" s="5" t="n">
        <v>30000</v>
      </c>
    </row>
    <row r="6" customFormat="false" ht="15" hidden="false" customHeight="false" outlineLevel="0" collapsed="false">
      <c r="A6" s="8" t="n">
        <v>5</v>
      </c>
      <c r="B6" s="8" t="s">
        <v>250</v>
      </c>
      <c r="C6" s="8" t="s">
        <v>205</v>
      </c>
      <c r="D6" s="8" t="s">
        <v>242</v>
      </c>
      <c r="E6" s="8" t="s">
        <v>204</v>
      </c>
      <c r="F6" s="8" t="n">
        <v>3</v>
      </c>
      <c r="G6" s="8" t="n">
        <v>3000</v>
      </c>
      <c r="H6" s="8" t="n">
        <v>9000</v>
      </c>
    </row>
    <row r="7" customFormat="false" ht="15" hidden="false" customHeight="false" outlineLevel="0" collapsed="false">
      <c r="A7" s="5" t="n">
        <v>6</v>
      </c>
      <c r="B7" s="5" t="s">
        <v>251</v>
      </c>
      <c r="C7" s="5" t="s">
        <v>205</v>
      </c>
      <c r="D7" s="5" t="s">
        <v>242</v>
      </c>
      <c r="E7" s="5" t="s">
        <v>249</v>
      </c>
      <c r="F7" s="5" t="n">
        <v>3</v>
      </c>
      <c r="G7" s="5" t="n">
        <v>6000</v>
      </c>
      <c r="H7" s="5" t="n">
        <v>18000</v>
      </c>
    </row>
    <row r="8" customFormat="false" ht="15" hidden="false" customHeight="false" outlineLevel="0" collapsed="false">
      <c r="A8" s="8" t="n">
        <v>7</v>
      </c>
      <c r="B8" s="8" t="s">
        <v>252</v>
      </c>
      <c r="C8" s="8" t="s">
        <v>253</v>
      </c>
      <c r="D8" s="8" t="s">
        <v>242</v>
      </c>
      <c r="E8" s="8" t="s">
        <v>254</v>
      </c>
      <c r="F8" s="8" t="n">
        <v>1</v>
      </c>
      <c r="G8" s="8"/>
      <c r="H8" s="8"/>
    </row>
    <row r="9" customFormat="false" ht="15" hidden="false" customHeight="false" outlineLevel="0" collapsed="false">
      <c r="A9" s="5" t="n">
        <v>8</v>
      </c>
      <c r="B9" s="5" t="s">
        <v>255</v>
      </c>
      <c r="C9" s="5" t="s">
        <v>256</v>
      </c>
      <c r="D9" s="5" t="s">
        <v>257</v>
      </c>
      <c r="E9" s="5" t="s">
        <v>258</v>
      </c>
      <c r="F9" s="23" t="n">
        <v>0</v>
      </c>
      <c r="G9" s="5"/>
      <c r="H9" s="5"/>
    </row>
    <row r="10" customFormat="false" ht="15" hidden="false" customHeight="false" outlineLevel="0" collapsed="false">
      <c r="A10" s="8" t="n">
        <v>9</v>
      </c>
      <c r="B10" s="8" t="s">
        <v>259</v>
      </c>
      <c r="C10" s="8" t="s">
        <v>260</v>
      </c>
      <c r="D10" s="8" t="s">
        <v>261</v>
      </c>
      <c r="E10" s="8" t="s">
        <v>262</v>
      </c>
      <c r="F10" s="8" t="n">
        <v>3</v>
      </c>
      <c r="G10" s="8"/>
      <c r="H10" s="8"/>
    </row>
    <row r="11" customFormat="false" ht="15" hidden="false" customHeight="false" outlineLevel="0" collapsed="false">
      <c r="A11" s="5" t="n">
        <v>10</v>
      </c>
      <c r="B11" s="5" t="s">
        <v>263</v>
      </c>
      <c r="C11" s="5" t="s">
        <v>205</v>
      </c>
      <c r="D11" s="5" t="s">
        <v>261</v>
      </c>
      <c r="E11" s="5" t="s">
        <v>249</v>
      </c>
      <c r="F11" s="5" t="n">
        <v>1</v>
      </c>
      <c r="G11" s="5"/>
      <c r="H11" s="5"/>
    </row>
    <row r="12" customFormat="false" ht="15" hidden="false" customHeight="false" outlineLevel="0" collapsed="false">
      <c r="A12" s="8" t="n">
        <v>11</v>
      </c>
      <c r="B12" s="8" t="s">
        <v>264</v>
      </c>
      <c r="C12" s="8" t="s">
        <v>265</v>
      </c>
      <c r="D12" s="8" t="s">
        <v>242</v>
      </c>
      <c r="E12" s="8" t="s">
        <v>241</v>
      </c>
      <c r="F12" s="8" t="n">
        <v>1</v>
      </c>
      <c r="G12" s="8"/>
      <c r="H12" s="8"/>
    </row>
    <row r="13" customFormat="false" ht="15" hidden="false" customHeight="false" outlineLevel="0" collapsed="false">
      <c r="A13" s="5" t="n">
        <v>12</v>
      </c>
      <c r="B13" s="5" t="s">
        <v>266</v>
      </c>
      <c r="C13" s="5" t="s">
        <v>267</v>
      </c>
      <c r="D13" s="5" t="s">
        <v>268</v>
      </c>
      <c r="E13" s="5" t="s">
        <v>269</v>
      </c>
      <c r="F13" s="5" t="n">
        <v>6</v>
      </c>
      <c r="G13" s="5"/>
      <c r="H13" s="5"/>
    </row>
    <row r="14" customFormat="false" ht="15" hidden="false" customHeight="false" outlineLevel="0" collapsed="false">
      <c r="A14" s="8" t="n">
        <v>13</v>
      </c>
      <c r="B14" s="8" t="s">
        <v>270</v>
      </c>
      <c r="C14" s="8" t="s">
        <v>267</v>
      </c>
      <c r="D14" s="8" t="s">
        <v>271</v>
      </c>
      <c r="E14" s="8" t="s">
        <v>269</v>
      </c>
      <c r="F14" s="8" t="n">
        <v>10</v>
      </c>
      <c r="G14" s="8"/>
      <c r="H14" s="8"/>
    </row>
    <row r="15" customFormat="false" ht="15" hidden="false" customHeight="false" outlineLevel="0" collapsed="false">
      <c r="A15" s="5" t="n">
        <v>14</v>
      </c>
      <c r="B15" s="5" t="s">
        <v>272</v>
      </c>
      <c r="C15" s="5" t="s">
        <v>267</v>
      </c>
      <c r="D15" s="5" t="s">
        <v>257</v>
      </c>
      <c r="E15" s="5" t="s">
        <v>273</v>
      </c>
      <c r="F15" s="5" t="n">
        <v>2</v>
      </c>
      <c r="G15" s="5"/>
      <c r="H15" s="5"/>
    </row>
    <row r="16" customFormat="false" ht="15" hidden="false" customHeight="false" outlineLevel="0" collapsed="false">
      <c r="A16" s="8" t="n">
        <v>15</v>
      </c>
      <c r="B16" s="8" t="s">
        <v>274</v>
      </c>
      <c r="C16" s="8" t="s">
        <v>275</v>
      </c>
      <c r="D16" s="8" t="s">
        <v>276</v>
      </c>
      <c r="E16" s="8" t="s">
        <v>277</v>
      </c>
      <c r="F16" s="8" t="n">
        <v>3</v>
      </c>
      <c r="G16" s="8"/>
      <c r="H16" s="8"/>
    </row>
    <row r="17" customFormat="false" ht="15" hidden="false" customHeight="false" outlineLevel="0" collapsed="false">
      <c r="A17" s="5" t="n">
        <v>16</v>
      </c>
      <c r="B17" s="5" t="s">
        <v>278</v>
      </c>
      <c r="C17" s="5" t="s">
        <v>279</v>
      </c>
      <c r="D17" s="5" t="s">
        <v>276</v>
      </c>
      <c r="E17" s="5" t="s">
        <v>280</v>
      </c>
      <c r="F17" s="5" t="n">
        <v>2</v>
      </c>
      <c r="G17" s="5"/>
      <c r="H17" s="5"/>
    </row>
    <row r="18" customFormat="false" ht="15" hidden="false" customHeight="false" outlineLevel="0" collapsed="false">
      <c r="A18" s="8" t="n">
        <v>17</v>
      </c>
      <c r="B18" s="8" t="s">
        <v>229</v>
      </c>
      <c r="C18" s="8" t="s">
        <v>281</v>
      </c>
      <c r="D18" s="8" t="s">
        <v>276</v>
      </c>
      <c r="E18" s="8" t="s">
        <v>282</v>
      </c>
      <c r="F18" s="8" t="n">
        <v>1</v>
      </c>
      <c r="G18" s="8"/>
      <c r="H18" s="8"/>
    </row>
    <row r="19" customFormat="false" ht="15" hidden="false" customHeight="false" outlineLevel="0" collapsed="false">
      <c r="A19" s="5" t="n">
        <v>18</v>
      </c>
      <c r="B19" s="5" t="s">
        <v>283</v>
      </c>
      <c r="C19" s="5" t="s">
        <v>267</v>
      </c>
      <c r="D19" s="5" t="s">
        <v>242</v>
      </c>
      <c r="E19" s="5" t="s">
        <v>284</v>
      </c>
      <c r="F19" s="5" t="n">
        <v>3</v>
      </c>
      <c r="G19" s="5"/>
      <c r="H19" s="5"/>
    </row>
    <row r="20" customFormat="false" ht="15" hidden="false" customHeight="false" outlineLevel="0" collapsed="false">
      <c r="A20" s="8" t="n">
        <v>19</v>
      </c>
      <c r="B20" s="8" t="s">
        <v>285</v>
      </c>
      <c r="C20" s="8" t="s">
        <v>286</v>
      </c>
      <c r="D20" s="8" t="s">
        <v>242</v>
      </c>
      <c r="E20" s="8" t="s">
        <v>287</v>
      </c>
      <c r="F20" s="8" t="n">
        <v>1</v>
      </c>
      <c r="G20" s="8"/>
      <c r="H20" s="8"/>
    </row>
    <row r="21" customFormat="false" ht="15" hidden="false" customHeight="false" outlineLevel="0" collapsed="false">
      <c r="A21" s="5" t="n">
        <v>20</v>
      </c>
      <c r="B21" s="5" t="s">
        <v>288</v>
      </c>
      <c r="C21" s="5" t="s">
        <v>275</v>
      </c>
      <c r="D21" s="5" t="s">
        <v>276</v>
      </c>
      <c r="E21" s="5" t="s">
        <v>289</v>
      </c>
      <c r="F21" s="5" t="n">
        <v>2</v>
      </c>
      <c r="G21" s="5"/>
      <c r="H21" s="5"/>
    </row>
    <row r="22" customFormat="false" ht="15" hidden="false" customHeight="false" outlineLevel="0" collapsed="false">
      <c r="A22" s="8" t="n">
        <v>21</v>
      </c>
      <c r="B22" s="8" t="s">
        <v>290</v>
      </c>
      <c r="C22" s="8" t="s">
        <v>275</v>
      </c>
      <c r="D22" s="8" t="s">
        <v>276</v>
      </c>
      <c r="E22" s="8" t="s">
        <v>277</v>
      </c>
      <c r="F22" s="8" t="n">
        <v>2</v>
      </c>
      <c r="G22" s="8"/>
      <c r="H22" s="8"/>
    </row>
    <row r="23" customFormat="false" ht="15" hidden="false" customHeight="false" outlineLevel="0" collapsed="false">
      <c r="A23" s="5" t="n">
        <v>22</v>
      </c>
      <c r="B23" s="5" t="s">
        <v>291</v>
      </c>
      <c r="C23" s="5" t="s">
        <v>205</v>
      </c>
      <c r="D23" s="5" t="s">
        <v>242</v>
      </c>
      <c r="E23" s="5" t="s">
        <v>205</v>
      </c>
      <c r="F23" s="23" t="n">
        <v>0</v>
      </c>
      <c r="G23" s="5"/>
      <c r="H23" s="5"/>
    </row>
    <row r="24" customFormat="false" ht="15" hidden="false" customHeight="false" outlineLevel="0" collapsed="false">
      <c r="A24" s="8" t="n">
        <v>23</v>
      </c>
      <c r="B24" s="8" t="s">
        <v>292</v>
      </c>
      <c r="C24" s="8" t="s">
        <v>267</v>
      </c>
      <c r="D24" s="8" t="s">
        <v>257</v>
      </c>
      <c r="E24" s="8" t="s">
        <v>293</v>
      </c>
      <c r="F24" s="8" t="n">
        <v>15</v>
      </c>
      <c r="G24" s="8"/>
      <c r="H24" s="8"/>
    </row>
    <row r="25" customFormat="false" ht="15" hidden="false" customHeight="false" outlineLevel="0" collapsed="false">
      <c r="A25" s="5" t="n">
        <v>24</v>
      </c>
      <c r="B25" s="5" t="s">
        <v>294</v>
      </c>
      <c r="C25" s="5" t="s">
        <v>295</v>
      </c>
      <c r="D25" s="5" t="s">
        <v>257</v>
      </c>
      <c r="E25" s="5" t="s">
        <v>296</v>
      </c>
      <c r="F25" s="5" t="n">
        <v>1</v>
      </c>
      <c r="G25" s="5"/>
      <c r="H25" s="5"/>
    </row>
    <row r="26" customFormat="false" ht="15" hidden="false" customHeight="false" outlineLevel="0" collapsed="false">
      <c r="A26" s="8" t="n">
        <v>25</v>
      </c>
      <c r="B26" s="8" t="s">
        <v>297</v>
      </c>
      <c r="C26" s="8" t="s">
        <v>221</v>
      </c>
      <c r="D26" s="8" t="s">
        <v>276</v>
      </c>
      <c r="E26" s="8" t="s">
        <v>298</v>
      </c>
      <c r="F26" s="8" t="n">
        <v>1</v>
      </c>
      <c r="G26" s="8"/>
      <c r="H26" s="8"/>
    </row>
    <row r="27" customFormat="false" ht="15" hidden="false" customHeight="false" outlineLevel="0" collapsed="false">
      <c r="A27" s="5" t="n">
        <v>26</v>
      </c>
      <c r="B27" s="5" t="s">
        <v>299</v>
      </c>
      <c r="C27" s="5" t="s">
        <v>300</v>
      </c>
      <c r="D27" s="5" t="s">
        <v>301</v>
      </c>
      <c r="E27" s="5" t="s">
        <v>302</v>
      </c>
      <c r="F27" s="5" t="n">
        <v>1</v>
      </c>
      <c r="G27" s="5"/>
      <c r="H27" s="5"/>
    </row>
    <row r="28" customFormat="false" ht="15" hidden="false" customHeight="false" outlineLevel="0" collapsed="false">
      <c r="A28" s="20" t="s">
        <v>106</v>
      </c>
      <c r="H28" s="20" t="n">
        <f aca="false">SUM(H2:H27)</f>
        <v>88000</v>
      </c>
    </row>
    <row r="30" customFormat="false" ht="15" hidden="false" customHeight="false" outlineLevel="0" collapsed="false">
      <c r="A30" s="24" t="s">
        <v>303</v>
      </c>
      <c r="B30" s="24"/>
      <c r="C30" s="24"/>
      <c r="D30" s="24"/>
      <c r="E30" s="24"/>
      <c r="F30" s="24"/>
      <c r="G30" s="24"/>
      <c r="H30" s="24"/>
    </row>
    <row r="31" customFormat="false" ht="15" hidden="false" customHeight="false" outlineLevel="0" collapsed="false">
      <c r="A31" s="25" t="s">
        <v>304</v>
      </c>
      <c r="B31" s="25"/>
      <c r="C31" s="25"/>
      <c r="D31" s="25"/>
      <c r="E31" s="25"/>
      <c r="F31" s="25"/>
      <c r="G31" s="25"/>
      <c r="H31" s="25"/>
    </row>
  </sheetData>
  <mergeCells count="2"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7"/>
    <col collapsed="false" customWidth="true" hidden="false" outlineLevel="0" max="3" min="3" style="0" width="36"/>
    <col collapsed="false" customWidth="true" hidden="false" outlineLevel="0" max="4" min="4" style="0" width="13"/>
    <col collapsed="false" customWidth="true" hidden="false" outlineLevel="0" max="5" min="5" style="0" width="23"/>
    <col collapsed="false" customWidth="true" hidden="false" outlineLevel="0" max="6" min="6" style="0" width="16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26" t="s">
        <v>305</v>
      </c>
      <c r="B1" s="26"/>
      <c r="C1" s="26"/>
      <c r="D1" s="26"/>
      <c r="E1" s="26"/>
      <c r="F1" s="26"/>
      <c r="G1" s="26"/>
    </row>
    <row r="2" customFormat="false" ht="26.85" hidden="false" customHeight="false" outlineLevel="0" collapsed="false">
      <c r="A2" s="3" t="s">
        <v>306</v>
      </c>
      <c r="B2" s="3" t="s">
        <v>192</v>
      </c>
      <c r="C2" s="3" t="s">
        <v>307</v>
      </c>
      <c r="D2" s="3" t="s">
        <v>308</v>
      </c>
      <c r="E2" s="3" t="s">
        <v>309</v>
      </c>
      <c r="F2" s="3" t="s">
        <v>310</v>
      </c>
      <c r="G2" s="3" t="s">
        <v>311</v>
      </c>
    </row>
    <row r="3" customFormat="false" ht="15" hidden="false" customHeight="false" outlineLevel="0" collapsed="false">
      <c r="A3" s="8" t="s">
        <v>312</v>
      </c>
      <c r="B3" s="8" t="s">
        <v>313</v>
      </c>
      <c r="C3" s="8" t="s">
        <v>314</v>
      </c>
      <c r="D3" s="8" t="s">
        <v>315</v>
      </c>
      <c r="E3" s="8" t="s">
        <v>316</v>
      </c>
      <c r="F3" s="8" t="s">
        <v>317</v>
      </c>
      <c r="G3" s="8" t="s">
        <v>318</v>
      </c>
    </row>
    <row r="4" customFormat="false" ht="15" hidden="false" customHeight="false" outlineLevel="0" collapsed="false">
      <c r="A4" s="5" t="s">
        <v>319</v>
      </c>
      <c r="B4" s="5" t="s">
        <v>320</v>
      </c>
      <c r="C4" s="5" t="s">
        <v>321</v>
      </c>
      <c r="D4" s="5" t="s">
        <v>315</v>
      </c>
      <c r="E4" s="5" t="s">
        <v>322</v>
      </c>
      <c r="F4" s="5" t="s">
        <v>323</v>
      </c>
      <c r="G4" s="5" t="s">
        <v>324</v>
      </c>
    </row>
    <row r="5" customFormat="false" ht="15" hidden="false" customHeight="false" outlineLevel="0" collapsed="false">
      <c r="A5" s="8" t="s">
        <v>325</v>
      </c>
      <c r="B5" s="8" t="s">
        <v>211</v>
      </c>
      <c r="C5" s="8" t="s">
        <v>326</v>
      </c>
      <c r="D5" s="8" t="s">
        <v>327</v>
      </c>
      <c r="E5" s="8" t="s">
        <v>328</v>
      </c>
      <c r="F5" s="8" t="s">
        <v>329</v>
      </c>
      <c r="G5" s="8" t="s">
        <v>324</v>
      </c>
    </row>
    <row r="6" customFormat="false" ht="15" hidden="false" customHeight="false" outlineLevel="0" collapsed="false">
      <c r="A6" s="5" t="s">
        <v>330</v>
      </c>
      <c r="B6" s="5" t="s">
        <v>211</v>
      </c>
      <c r="C6" s="5" t="s">
        <v>326</v>
      </c>
      <c r="D6" s="5" t="s">
        <v>331</v>
      </c>
      <c r="E6" s="5" t="s">
        <v>328</v>
      </c>
      <c r="F6" s="5" t="s">
        <v>329</v>
      </c>
      <c r="G6" s="5" t="s">
        <v>324</v>
      </c>
    </row>
    <row r="7" customFormat="false" ht="15" hidden="false" customHeight="false" outlineLevel="0" collapsed="false">
      <c r="A7" s="8" t="s">
        <v>198</v>
      </c>
      <c r="B7" s="8" t="s">
        <v>332</v>
      </c>
      <c r="C7" s="8" t="s">
        <v>200</v>
      </c>
      <c r="D7" s="8" t="s">
        <v>333</v>
      </c>
      <c r="E7" s="8" t="s">
        <v>334</v>
      </c>
      <c r="F7" s="8" t="s">
        <v>335</v>
      </c>
      <c r="G7" s="8" t="s">
        <v>324</v>
      </c>
    </row>
    <row r="8" customFormat="false" ht="15" hidden="false" customHeight="false" outlineLevel="0" collapsed="false">
      <c r="A8" s="5" t="s">
        <v>336</v>
      </c>
      <c r="B8" s="5" t="s">
        <v>337</v>
      </c>
      <c r="C8" s="5" t="s">
        <v>218</v>
      </c>
      <c r="D8" s="5" t="s">
        <v>338</v>
      </c>
      <c r="E8" s="5" t="s">
        <v>339</v>
      </c>
      <c r="F8" s="5" t="s">
        <v>340</v>
      </c>
      <c r="G8" s="5" t="s">
        <v>324</v>
      </c>
    </row>
    <row r="9" customFormat="false" ht="15" hidden="false" customHeight="false" outlineLevel="0" collapsed="false">
      <c r="A9" s="8" t="s">
        <v>341</v>
      </c>
      <c r="B9" s="8" t="s">
        <v>342</v>
      </c>
      <c r="C9" s="8" t="s">
        <v>228</v>
      </c>
      <c r="D9" s="8" t="s">
        <v>343</v>
      </c>
      <c r="E9" s="8" t="s">
        <v>344</v>
      </c>
      <c r="F9" s="8" t="s">
        <v>345</v>
      </c>
      <c r="G9" s="8" t="s">
        <v>324</v>
      </c>
    </row>
    <row r="10" customFormat="false" ht="15" hidden="false" customHeight="false" outlineLevel="0" collapsed="false">
      <c r="A10" s="5" t="s">
        <v>346</v>
      </c>
      <c r="B10" s="5" t="s">
        <v>347</v>
      </c>
      <c r="C10" s="5" t="s">
        <v>348</v>
      </c>
      <c r="D10" s="5" t="s">
        <v>349</v>
      </c>
      <c r="E10" s="5" t="s">
        <v>350</v>
      </c>
      <c r="F10" s="5" t="s">
        <v>351</v>
      </c>
      <c r="G10" s="5" t="s">
        <v>352</v>
      </c>
    </row>
    <row r="11" customFormat="false" ht="15" hidden="false" customHeight="false" outlineLevel="0" collapsed="false">
      <c r="A11" s="8" t="s">
        <v>353</v>
      </c>
      <c r="B11" s="8" t="s">
        <v>354</v>
      </c>
      <c r="C11" s="8" t="s">
        <v>355</v>
      </c>
      <c r="D11" s="8" t="s">
        <v>356</v>
      </c>
      <c r="E11" s="8" t="s">
        <v>357</v>
      </c>
      <c r="F11" s="8" t="s">
        <v>358</v>
      </c>
      <c r="G11" s="8" t="s">
        <v>359</v>
      </c>
    </row>
    <row r="13" customFormat="false" ht="17.35" hidden="false" customHeight="false" outlineLevel="0" collapsed="false">
      <c r="A13" s="27" t="s">
        <v>360</v>
      </c>
      <c r="B13" s="27"/>
      <c r="C13" s="27"/>
      <c r="D13" s="27"/>
      <c r="E13" s="27"/>
      <c r="F13" s="27"/>
      <c r="G13" s="27"/>
    </row>
    <row r="14" customFormat="false" ht="15" hidden="false" customHeight="false" outlineLevel="0" collapsed="false">
      <c r="A14" s="3" t="s">
        <v>361</v>
      </c>
      <c r="B14" s="3" t="s">
        <v>309</v>
      </c>
      <c r="C14" s="3" t="s">
        <v>362</v>
      </c>
    </row>
    <row r="15" customFormat="false" ht="15" hidden="false" customHeight="false" outlineLevel="0" collapsed="false">
      <c r="A15" s="8" t="s">
        <v>223</v>
      </c>
      <c r="B15" s="8" t="s">
        <v>363</v>
      </c>
      <c r="C15" s="8" t="s">
        <v>364</v>
      </c>
    </row>
    <row r="16" customFormat="false" ht="15" hidden="false" customHeight="false" outlineLevel="0" collapsed="false">
      <c r="A16" s="5" t="s">
        <v>365</v>
      </c>
      <c r="B16" s="5" t="s">
        <v>358</v>
      </c>
      <c r="C16" s="5" t="s">
        <v>366</v>
      </c>
    </row>
    <row r="17" customFormat="false" ht="15" hidden="false" customHeight="false" outlineLevel="0" collapsed="false">
      <c r="A17" s="8" t="s">
        <v>367</v>
      </c>
      <c r="B17" s="8" t="s">
        <v>368</v>
      </c>
      <c r="C17" s="8" t="s">
        <v>369</v>
      </c>
    </row>
    <row r="18" customFormat="false" ht="15" hidden="false" customHeight="false" outlineLevel="0" collapsed="false">
      <c r="A18" s="5" t="s">
        <v>370</v>
      </c>
      <c r="B18" s="5" t="s">
        <v>358</v>
      </c>
      <c r="C18" s="5" t="s">
        <v>371</v>
      </c>
    </row>
    <row r="19" customFormat="false" ht="15" hidden="false" customHeight="false" outlineLevel="0" collapsed="false">
      <c r="A19" s="8" t="s">
        <v>350</v>
      </c>
      <c r="B19" s="8" t="s">
        <v>372</v>
      </c>
      <c r="C19" s="8" t="s">
        <v>373</v>
      </c>
    </row>
    <row r="20" customFormat="false" ht="15" hidden="false" customHeight="false" outlineLevel="0" collapsed="false">
      <c r="A20" s="5" t="s">
        <v>374</v>
      </c>
      <c r="B20" s="5" t="s">
        <v>375</v>
      </c>
      <c r="C20" s="5" t="s">
        <v>376</v>
      </c>
    </row>
  </sheetData>
  <mergeCells count="2">
    <mergeCell ref="A1:G1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29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3" t="s">
        <v>377</v>
      </c>
      <c r="B1" s="3" t="s">
        <v>378</v>
      </c>
      <c r="C1" s="3" t="s">
        <v>379</v>
      </c>
      <c r="D1" s="3" t="s">
        <v>380</v>
      </c>
      <c r="E1" s="3" t="s">
        <v>381</v>
      </c>
      <c r="F1" s="3" t="s">
        <v>382</v>
      </c>
    </row>
    <row r="2" customFormat="false" ht="15" hidden="false" customHeight="false" outlineLevel="0" collapsed="false">
      <c r="A2" s="12" t="s">
        <v>29</v>
      </c>
      <c r="B2" s="8" t="s">
        <v>383</v>
      </c>
      <c r="C2" s="8" t="s">
        <v>384</v>
      </c>
      <c r="D2" s="8" t="s">
        <v>385</v>
      </c>
      <c r="E2" s="8" t="s">
        <v>386</v>
      </c>
      <c r="F2" s="8" t="s">
        <v>164</v>
      </c>
    </row>
    <row r="3" customFormat="false" ht="15" hidden="false" customHeight="false" outlineLevel="0" collapsed="false">
      <c r="A3" s="12" t="s">
        <v>29</v>
      </c>
      <c r="B3" s="5" t="s">
        <v>383</v>
      </c>
      <c r="C3" s="5" t="s">
        <v>198</v>
      </c>
      <c r="D3" s="5" t="s">
        <v>387</v>
      </c>
      <c r="E3" s="5" t="s">
        <v>386</v>
      </c>
      <c r="F3" s="5" t="s">
        <v>164</v>
      </c>
    </row>
    <row r="4" customFormat="false" ht="15" hidden="false" customHeight="false" outlineLevel="0" collapsed="false">
      <c r="A4" s="12" t="s">
        <v>29</v>
      </c>
      <c r="B4" s="8" t="s">
        <v>383</v>
      </c>
      <c r="C4" s="8" t="s">
        <v>211</v>
      </c>
      <c r="D4" s="8" t="s">
        <v>388</v>
      </c>
      <c r="E4" s="8" t="s">
        <v>386</v>
      </c>
      <c r="F4" s="8" t="s">
        <v>164</v>
      </c>
    </row>
    <row r="5" customFormat="false" ht="15" hidden="false" customHeight="false" outlineLevel="0" collapsed="false">
      <c r="A5" s="12" t="s">
        <v>29</v>
      </c>
      <c r="B5" s="5" t="s">
        <v>383</v>
      </c>
      <c r="C5" s="5" t="s">
        <v>231</v>
      </c>
      <c r="D5" s="5" t="s">
        <v>389</v>
      </c>
      <c r="E5" s="5" t="s">
        <v>386</v>
      </c>
      <c r="F5" s="5" t="s">
        <v>164</v>
      </c>
    </row>
    <row r="6" customFormat="false" ht="15" hidden="false" customHeight="false" outlineLevel="0" collapsed="false">
      <c r="A6" s="10" t="s">
        <v>390</v>
      </c>
      <c r="B6" s="8" t="s">
        <v>391</v>
      </c>
      <c r="C6" s="8" t="s">
        <v>392</v>
      </c>
      <c r="D6" s="8" t="s">
        <v>393</v>
      </c>
      <c r="E6" s="8" t="s">
        <v>394</v>
      </c>
      <c r="F6" s="8" t="s">
        <v>164</v>
      </c>
    </row>
    <row r="7" customFormat="false" ht="15" hidden="false" customHeight="false" outlineLevel="0" collapsed="false">
      <c r="A7" s="10" t="s">
        <v>390</v>
      </c>
      <c r="B7" s="5" t="s">
        <v>395</v>
      </c>
      <c r="C7" s="5" t="s">
        <v>396</v>
      </c>
      <c r="D7" s="5" t="s">
        <v>397</v>
      </c>
      <c r="E7" s="5" t="s">
        <v>398</v>
      </c>
      <c r="F7" s="5" t="s">
        <v>164</v>
      </c>
    </row>
    <row r="8" customFormat="false" ht="15" hidden="false" customHeight="false" outlineLevel="0" collapsed="false">
      <c r="A8" s="10" t="s">
        <v>390</v>
      </c>
      <c r="B8" s="8" t="s">
        <v>395</v>
      </c>
      <c r="C8" s="8" t="s">
        <v>399</v>
      </c>
      <c r="D8" s="8" t="s">
        <v>400</v>
      </c>
      <c r="E8" s="8" t="s">
        <v>401</v>
      </c>
      <c r="F8" s="8" t="s">
        <v>164</v>
      </c>
    </row>
    <row r="9" customFormat="false" ht="15" hidden="false" customHeight="false" outlineLevel="0" collapsed="false">
      <c r="A9" s="16" t="s">
        <v>402</v>
      </c>
      <c r="B9" s="5" t="s">
        <v>395</v>
      </c>
      <c r="C9" s="5" t="s">
        <v>403</v>
      </c>
      <c r="D9" s="5" t="s">
        <v>404</v>
      </c>
      <c r="E9" s="5" t="s">
        <v>405</v>
      </c>
      <c r="F9" s="5" t="s">
        <v>164</v>
      </c>
    </row>
    <row r="10" customFormat="false" ht="15" hidden="false" customHeight="false" outlineLevel="0" collapsed="false">
      <c r="A10" s="16" t="s">
        <v>402</v>
      </c>
      <c r="B10" s="8" t="s">
        <v>395</v>
      </c>
      <c r="C10" s="8" t="s">
        <v>406</v>
      </c>
      <c r="D10" s="8" t="s">
        <v>407</v>
      </c>
      <c r="E10" s="8" t="s">
        <v>408</v>
      </c>
      <c r="F10" s="8" t="s">
        <v>164</v>
      </c>
    </row>
    <row r="11" customFormat="false" ht="15" hidden="false" customHeight="false" outlineLevel="0" collapsed="false">
      <c r="A11" s="17" t="s">
        <v>409</v>
      </c>
      <c r="B11" s="5" t="s">
        <v>383</v>
      </c>
      <c r="C11" s="5" t="s">
        <v>221</v>
      </c>
      <c r="D11" s="5" t="s">
        <v>410</v>
      </c>
      <c r="E11" s="5" t="s">
        <v>411</v>
      </c>
      <c r="F11" s="5" t="s">
        <v>164</v>
      </c>
    </row>
    <row r="12" customFormat="false" ht="15" hidden="false" customHeight="false" outlineLevel="0" collapsed="false">
      <c r="A12" s="17" t="s">
        <v>409</v>
      </c>
      <c r="B12" s="8" t="s">
        <v>383</v>
      </c>
      <c r="C12" s="8" t="s">
        <v>341</v>
      </c>
      <c r="D12" s="8" t="s">
        <v>410</v>
      </c>
      <c r="E12" s="8" t="s">
        <v>411</v>
      </c>
      <c r="F12" s="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5"/>
    <col collapsed="false" customWidth="true" hidden="false" outlineLevel="0" max="3" min="3" style="0" width="6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26" t="s">
        <v>412</v>
      </c>
      <c r="B1" s="26"/>
      <c r="C1" s="26"/>
      <c r="D1" s="26"/>
    </row>
    <row r="2" customFormat="false" ht="15" hidden="false" customHeight="false" outlineLevel="0" collapsed="false">
      <c r="A2" s="3" t="s">
        <v>235</v>
      </c>
      <c r="B2" s="3" t="s">
        <v>413</v>
      </c>
      <c r="C2" s="3" t="s">
        <v>414</v>
      </c>
      <c r="D2" s="3" t="s">
        <v>377</v>
      </c>
    </row>
    <row r="3" customFormat="false" ht="35.05" hidden="false" customHeight="false" outlineLevel="0" collapsed="false">
      <c r="A3" s="5" t="n">
        <v>1</v>
      </c>
      <c r="B3" s="28" t="s">
        <v>415</v>
      </c>
      <c r="C3" s="28" t="s">
        <v>416</v>
      </c>
      <c r="D3" s="12" t="s">
        <v>390</v>
      </c>
    </row>
    <row r="4" customFormat="false" ht="35.05" hidden="false" customHeight="false" outlineLevel="0" collapsed="false">
      <c r="A4" s="5" t="n">
        <v>2</v>
      </c>
      <c r="B4" s="28" t="s">
        <v>417</v>
      </c>
      <c r="C4" s="28" t="s">
        <v>418</v>
      </c>
      <c r="D4" s="12" t="s">
        <v>390</v>
      </c>
    </row>
    <row r="5" customFormat="false" ht="35.05" hidden="false" customHeight="false" outlineLevel="0" collapsed="false">
      <c r="A5" s="5" t="n">
        <v>3</v>
      </c>
      <c r="B5" s="28" t="s">
        <v>419</v>
      </c>
      <c r="C5" s="28" t="s">
        <v>420</v>
      </c>
      <c r="D5" s="16" t="s">
        <v>421</v>
      </c>
    </row>
    <row r="6" customFormat="false" ht="23.85" hidden="false" customHeight="false" outlineLevel="0" collapsed="false">
      <c r="A6" s="5" t="n">
        <v>4</v>
      </c>
      <c r="B6" s="28" t="s">
        <v>422</v>
      </c>
      <c r="C6" s="28" t="s">
        <v>423</v>
      </c>
      <c r="D6" s="16" t="s">
        <v>421</v>
      </c>
    </row>
    <row r="7" customFormat="false" ht="35.05" hidden="false" customHeight="false" outlineLevel="0" collapsed="false">
      <c r="A7" s="5" t="n">
        <v>5</v>
      </c>
      <c r="B7" s="28" t="s">
        <v>424</v>
      </c>
      <c r="C7" s="28" t="s">
        <v>425</v>
      </c>
      <c r="D7" s="12" t="s">
        <v>390</v>
      </c>
    </row>
    <row r="8" customFormat="false" ht="23.85" hidden="false" customHeight="false" outlineLevel="0" collapsed="false">
      <c r="A8" s="5" t="n">
        <v>6</v>
      </c>
      <c r="B8" s="28" t="s">
        <v>426</v>
      </c>
      <c r="C8" s="28" t="s">
        <v>427</v>
      </c>
      <c r="D8" s="16" t="s">
        <v>421</v>
      </c>
    </row>
    <row r="9" customFormat="false" ht="23.85" hidden="false" customHeight="false" outlineLevel="0" collapsed="false">
      <c r="A9" s="5" t="n">
        <v>7</v>
      </c>
      <c r="B9" s="28" t="s">
        <v>428</v>
      </c>
      <c r="C9" s="28" t="s">
        <v>429</v>
      </c>
      <c r="D9" s="17" t="s">
        <v>430</v>
      </c>
    </row>
    <row r="10" customFormat="false" ht="23.85" hidden="false" customHeight="false" outlineLevel="0" collapsed="false">
      <c r="A10" s="5" t="n">
        <v>8</v>
      </c>
      <c r="B10" s="28" t="s">
        <v>431</v>
      </c>
      <c r="C10" s="28" t="s">
        <v>432</v>
      </c>
      <c r="D10" s="12" t="s">
        <v>390</v>
      </c>
    </row>
    <row r="11" customFormat="false" ht="35.05" hidden="false" customHeight="false" outlineLevel="0" collapsed="false">
      <c r="A11" s="5" t="n">
        <v>9</v>
      </c>
      <c r="B11" s="28" t="s">
        <v>433</v>
      </c>
      <c r="C11" s="28" t="s">
        <v>434</v>
      </c>
      <c r="D11" s="16" t="s">
        <v>421</v>
      </c>
    </row>
    <row r="12" customFormat="false" ht="23.85" hidden="false" customHeight="false" outlineLevel="0" collapsed="false">
      <c r="A12" s="5" t="n">
        <v>10</v>
      </c>
      <c r="B12" s="28" t="s">
        <v>435</v>
      </c>
      <c r="C12" s="28" t="s">
        <v>436</v>
      </c>
      <c r="D12" s="17" t="s">
        <v>430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2026-04-18T13:56:45Z</dcterms:created>
  <dc:creator>openpyxl</dc:creator>
  <dc:description/>
  <dc:language>en-US</dc:language>
  <cp:lastModifiedBy/>
  <dcterms:modified xsi:type="dcterms:W3CDTF">2026-04-18T13:56:46Z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